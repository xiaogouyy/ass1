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liang13/Library/CloudStorage/Dropbox/McGill/Teaching/Fall_2026/2026_MGSC_401_Fall/Homework/upload_for_checking/"/>
    </mc:Choice>
  </mc:AlternateContent>
  <xr:revisionPtr revIDLastSave="0" documentId="8_{6F676FBC-B8B2-0F4C-A603-7CBC3B00F630}" xr6:coauthVersionLast="47" xr6:coauthVersionMax="47" xr10:uidLastSave="{00000000-0000-0000-0000-000000000000}"/>
  <bookViews>
    <workbookView xWindow="1140" yWindow="840" windowWidth="44800" windowHeight="24700" activeTab="1" xr2:uid="{00000000-000D-0000-FFFF-FFFF00000000}"/>
  </bookViews>
  <sheets>
    <sheet name="README" sheetId="1" r:id="rId1"/>
    <sheet name="Training_Data" sheetId="2" r:id="rId2"/>
    <sheet name="Data_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0" i="2" l="1"/>
  <c r="AB360" i="2"/>
  <c r="AA360" i="2"/>
  <c r="AC359" i="2"/>
  <c r="AB359" i="2"/>
  <c r="AA359" i="2"/>
  <c r="AC358" i="2"/>
  <c r="AB358" i="2"/>
  <c r="AA358" i="2"/>
  <c r="AC357" i="2"/>
  <c r="AB357" i="2"/>
  <c r="AA357" i="2"/>
  <c r="AC356" i="2"/>
  <c r="AB356" i="2"/>
  <c r="AA356" i="2"/>
  <c r="AC355" i="2"/>
  <c r="AB355" i="2"/>
  <c r="AA355" i="2"/>
  <c r="AC354" i="2"/>
  <c r="AB354" i="2"/>
  <c r="AA354" i="2"/>
  <c r="AC353" i="2"/>
  <c r="AB353" i="2"/>
  <c r="AA353" i="2"/>
  <c r="AC352" i="2"/>
  <c r="AB352" i="2"/>
  <c r="AA352" i="2"/>
  <c r="AC351" i="2"/>
  <c r="AB351" i="2"/>
  <c r="AA351" i="2"/>
  <c r="AC350" i="2"/>
  <c r="AB350" i="2"/>
  <c r="AA350" i="2"/>
  <c r="AC349" i="2"/>
  <c r="AB349" i="2"/>
  <c r="AA349" i="2"/>
  <c r="AC348" i="2"/>
  <c r="AB348" i="2"/>
  <c r="AA348" i="2"/>
  <c r="AC347" i="2"/>
  <c r="AB347" i="2"/>
  <c r="AA347" i="2"/>
  <c r="AC346" i="2"/>
  <c r="AB346" i="2"/>
  <c r="AA346" i="2"/>
  <c r="AC345" i="2"/>
  <c r="AB345" i="2"/>
  <c r="AA345" i="2"/>
  <c r="AC344" i="2"/>
  <c r="AB344" i="2"/>
  <c r="AA344" i="2"/>
  <c r="AC343" i="2"/>
  <c r="AB343" i="2"/>
  <c r="AA343" i="2"/>
  <c r="AC342" i="2"/>
  <c r="AB342" i="2"/>
  <c r="AA342" i="2"/>
  <c r="AC341" i="2"/>
  <c r="AB341" i="2"/>
  <c r="AA341" i="2"/>
  <c r="AC340" i="2"/>
  <c r="AB340" i="2"/>
  <c r="AA340" i="2"/>
  <c r="AC339" i="2"/>
  <c r="AB339" i="2"/>
  <c r="AA339" i="2"/>
  <c r="AC338" i="2"/>
  <c r="AB338" i="2"/>
  <c r="AA338" i="2"/>
  <c r="AC337" i="2"/>
  <c r="AB337" i="2"/>
  <c r="AA337" i="2"/>
  <c r="AC336" i="2"/>
  <c r="AB336" i="2"/>
  <c r="AA336" i="2"/>
  <c r="AC335" i="2"/>
  <c r="AB335" i="2"/>
  <c r="AA335" i="2"/>
  <c r="AC334" i="2"/>
  <c r="AB334" i="2"/>
  <c r="AA334" i="2"/>
  <c r="AC333" i="2"/>
  <c r="AB333" i="2"/>
  <c r="AA333" i="2"/>
  <c r="AC332" i="2"/>
  <c r="AB332" i="2"/>
  <c r="AA332" i="2"/>
  <c r="AC331" i="2"/>
  <c r="AB331" i="2"/>
  <c r="AA331" i="2"/>
  <c r="AC330" i="2"/>
  <c r="AB330" i="2"/>
  <c r="AA330" i="2"/>
  <c r="AC329" i="2"/>
  <c r="AB329" i="2"/>
  <c r="AA329" i="2"/>
  <c r="AC328" i="2"/>
  <c r="AB328" i="2"/>
  <c r="AA328" i="2"/>
  <c r="AC327" i="2"/>
  <c r="AB327" i="2"/>
  <c r="AA327" i="2"/>
  <c r="AC326" i="2"/>
  <c r="AB326" i="2"/>
  <c r="AA326" i="2"/>
  <c r="AC325" i="2"/>
  <c r="AB325" i="2"/>
  <c r="AA325" i="2"/>
  <c r="AC324" i="2"/>
  <c r="AB324" i="2"/>
  <c r="AA324" i="2"/>
  <c r="AC323" i="2"/>
  <c r="AB323" i="2"/>
  <c r="AA323" i="2"/>
  <c r="AC322" i="2"/>
  <c r="AB322" i="2"/>
  <c r="AA322" i="2"/>
  <c r="AC321" i="2"/>
  <c r="AB321" i="2"/>
  <c r="AA321" i="2"/>
  <c r="AC320" i="2"/>
  <c r="AB320" i="2"/>
  <c r="AA320" i="2"/>
  <c r="AC319" i="2"/>
  <c r="AB319" i="2"/>
  <c r="AA319" i="2"/>
  <c r="AC318" i="2"/>
  <c r="AB318" i="2"/>
  <c r="AA318" i="2"/>
  <c r="AC317" i="2"/>
  <c r="AB317" i="2"/>
  <c r="AA317" i="2"/>
  <c r="AC316" i="2"/>
  <c r="AB316" i="2"/>
  <c r="AA316" i="2"/>
  <c r="AC315" i="2"/>
  <c r="AB315" i="2"/>
  <c r="AA315" i="2"/>
  <c r="AC314" i="2"/>
  <c r="AB314" i="2"/>
  <c r="AA314" i="2"/>
  <c r="AC313" i="2"/>
  <c r="AB313" i="2"/>
  <c r="AA313" i="2"/>
  <c r="AC312" i="2"/>
  <c r="AB312" i="2"/>
  <c r="AA312" i="2"/>
  <c r="AC311" i="2"/>
  <c r="AB311" i="2"/>
  <c r="AA311" i="2"/>
  <c r="AC310" i="2"/>
  <c r="AB310" i="2"/>
  <c r="AA310" i="2"/>
  <c r="AC309" i="2"/>
  <c r="AB309" i="2"/>
  <c r="AA309" i="2"/>
  <c r="AC308" i="2"/>
  <c r="AB308" i="2"/>
  <c r="AA308" i="2"/>
  <c r="AC307" i="2"/>
  <c r="AB307" i="2"/>
  <c r="AA307" i="2"/>
  <c r="AC306" i="2"/>
  <c r="AB306" i="2"/>
  <c r="AA306" i="2"/>
  <c r="AC305" i="2"/>
  <c r="AB305" i="2"/>
  <c r="AA305" i="2"/>
  <c r="AC304" i="2"/>
  <c r="AB304" i="2"/>
  <c r="AA304" i="2"/>
  <c r="AC303" i="2"/>
  <c r="AB303" i="2"/>
  <c r="AA303" i="2"/>
  <c r="AC302" i="2"/>
  <c r="AB302" i="2"/>
  <c r="AA302" i="2"/>
  <c r="AC301" i="2"/>
  <c r="AB301" i="2"/>
  <c r="AA301" i="2"/>
  <c r="AC300" i="2"/>
  <c r="AB300" i="2"/>
  <c r="AA300" i="2"/>
  <c r="AC299" i="2"/>
  <c r="AB299" i="2"/>
  <c r="AA299" i="2"/>
  <c r="AC298" i="2"/>
  <c r="AB298" i="2"/>
  <c r="AA298" i="2"/>
  <c r="AC297" i="2"/>
  <c r="AB297" i="2"/>
  <c r="AA297" i="2"/>
  <c r="AC296" i="2"/>
  <c r="AB296" i="2"/>
  <c r="AA296" i="2"/>
  <c r="AC295" i="2"/>
  <c r="AB295" i="2"/>
  <c r="AA295" i="2"/>
  <c r="AC294" i="2"/>
  <c r="AB294" i="2"/>
  <c r="AA294" i="2"/>
  <c r="AC293" i="2"/>
  <c r="AB293" i="2"/>
  <c r="AA293" i="2"/>
  <c r="AC292" i="2"/>
  <c r="AB292" i="2"/>
  <c r="AA292" i="2"/>
  <c r="AC291" i="2"/>
  <c r="AB291" i="2"/>
  <c r="AA291" i="2"/>
  <c r="AC290" i="2"/>
  <c r="AB290" i="2"/>
  <c r="AA290" i="2"/>
  <c r="AC289" i="2"/>
  <c r="AB289" i="2"/>
  <c r="AA289" i="2"/>
  <c r="AC288" i="2"/>
  <c r="AB288" i="2"/>
  <c r="AA288" i="2"/>
  <c r="AC287" i="2"/>
  <c r="AB287" i="2"/>
  <c r="AA287" i="2"/>
  <c r="AC286" i="2"/>
  <c r="AB286" i="2"/>
  <c r="AA286" i="2"/>
  <c r="AC285" i="2"/>
  <c r="AB285" i="2"/>
  <c r="AA285" i="2"/>
  <c r="AC284" i="2"/>
  <c r="AB284" i="2"/>
  <c r="AA284" i="2"/>
  <c r="AC283" i="2"/>
  <c r="AB283" i="2"/>
  <c r="AA283" i="2"/>
  <c r="AC282" i="2"/>
  <c r="AB282" i="2"/>
  <c r="AA282" i="2"/>
  <c r="AC281" i="2"/>
  <c r="AB281" i="2"/>
  <c r="AA281" i="2"/>
  <c r="AC280" i="2"/>
  <c r="AB280" i="2"/>
  <c r="AA280" i="2"/>
  <c r="AC279" i="2"/>
  <c r="AB279" i="2"/>
  <c r="AA279" i="2"/>
  <c r="AC278" i="2"/>
  <c r="AB278" i="2"/>
  <c r="AA278" i="2"/>
  <c r="AC277" i="2"/>
  <c r="AB277" i="2"/>
  <c r="AA277" i="2"/>
  <c r="AC276" i="2"/>
  <c r="AB276" i="2"/>
  <c r="AA276" i="2"/>
  <c r="AC275" i="2"/>
  <c r="AB275" i="2"/>
  <c r="AA275" i="2"/>
  <c r="AC274" i="2"/>
  <c r="AB274" i="2"/>
  <c r="AA274" i="2"/>
  <c r="AC273" i="2"/>
  <c r="AB273" i="2"/>
  <c r="AA273" i="2"/>
  <c r="AC272" i="2"/>
  <c r="AB272" i="2"/>
  <c r="AA272" i="2"/>
  <c r="AC271" i="2"/>
  <c r="AB271" i="2"/>
  <c r="AA271" i="2"/>
  <c r="AC270" i="2"/>
  <c r="AB270" i="2"/>
  <c r="AA270" i="2"/>
  <c r="AC269" i="2"/>
  <c r="AB269" i="2"/>
  <c r="AA269" i="2"/>
  <c r="AC268" i="2"/>
  <c r="AB268" i="2"/>
  <c r="AA268" i="2"/>
  <c r="AC267" i="2"/>
  <c r="AB267" i="2"/>
  <c r="AA267" i="2"/>
  <c r="AC266" i="2"/>
  <c r="AB266" i="2"/>
  <c r="AA266" i="2"/>
  <c r="AC265" i="2"/>
  <c r="AB265" i="2"/>
  <c r="AA265" i="2"/>
  <c r="AC264" i="2"/>
  <c r="AB264" i="2"/>
  <c r="AA264" i="2"/>
  <c r="AC263" i="2"/>
  <c r="AB263" i="2"/>
  <c r="AA263" i="2"/>
  <c r="AC262" i="2"/>
  <c r="AB262" i="2"/>
  <c r="AA262" i="2"/>
  <c r="AC261" i="2"/>
  <c r="AB261" i="2"/>
  <c r="AA261" i="2"/>
  <c r="AC260" i="2"/>
  <c r="AB260" i="2"/>
  <c r="AA260" i="2"/>
  <c r="AC259" i="2"/>
  <c r="AB259" i="2"/>
  <c r="AA259" i="2"/>
  <c r="AC258" i="2"/>
  <c r="AB258" i="2"/>
  <c r="AA258" i="2"/>
  <c r="AC257" i="2"/>
  <c r="AB257" i="2"/>
  <c r="AA257" i="2"/>
  <c r="AC256" i="2"/>
  <c r="AB256" i="2"/>
  <c r="AA256" i="2"/>
  <c r="AC255" i="2"/>
  <c r="AB255" i="2"/>
  <c r="AA255" i="2"/>
  <c r="AC254" i="2"/>
  <c r="AB254" i="2"/>
  <c r="AA254" i="2"/>
  <c r="AC253" i="2"/>
  <c r="AB253" i="2"/>
  <c r="AA253" i="2"/>
  <c r="AC252" i="2"/>
  <c r="AB252" i="2"/>
  <c r="AA252" i="2"/>
  <c r="AC251" i="2"/>
  <c r="AB251" i="2"/>
  <c r="AA251" i="2"/>
  <c r="AC250" i="2"/>
  <c r="AB250" i="2"/>
  <c r="AA250" i="2"/>
  <c r="AC249" i="2"/>
  <c r="AB249" i="2"/>
  <c r="AA249" i="2"/>
  <c r="AC248" i="2"/>
  <c r="AB248" i="2"/>
  <c r="AA248" i="2"/>
  <c r="AC247" i="2"/>
  <c r="AB247" i="2"/>
  <c r="AA247" i="2"/>
  <c r="AC246" i="2"/>
  <c r="AB246" i="2"/>
  <c r="AA246" i="2"/>
  <c r="AC245" i="2"/>
  <c r="AB245" i="2"/>
  <c r="AA245" i="2"/>
  <c r="AC244" i="2"/>
  <c r="AB244" i="2"/>
  <c r="AA244" i="2"/>
  <c r="AC243" i="2"/>
  <c r="AB243" i="2"/>
  <c r="AA243" i="2"/>
  <c r="AC242" i="2"/>
  <c r="AB242" i="2"/>
  <c r="AA242" i="2"/>
  <c r="AC241" i="2"/>
  <c r="AB241" i="2"/>
  <c r="AA241" i="2"/>
  <c r="AC240" i="2"/>
  <c r="AB240" i="2"/>
  <c r="AA240" i="2"/>
  <c r="AC239" i="2"/>
  <c r="AB239" i="2"/>
  <c r="AA239" i="2"/>
  <c r="AC238" i="2"/>
  <c r="AB238" i="2"/>
  <c r="AA238" i="2"/>
  <c r="AC237" i="2"/>
  <c r="AB237" i="2"/>
  <c r="AA237" i="2"/>
  <c r="AC236" i="2"/>
  <c r="AB236" i="2"/>
  <c r="AA236" i="2"/>
  <c r="AC235" i="2"/>
  <c r="AB235" i="2"/>
  <c r="AA235" i="2"/>
  <c r="AC234" i="2"/>
  <c r="AB234" i="2"/>
  <c r="AA234" i="2"/>
  <c r="AC233" i="2"/>
  <c r="AB233" i="2"/>
  <c r="AA233" i="2"/>
  <c r="AC232" i="2"/>
  <c r="AB232" i="2"/>
  <c r="AA232" i="2"/>
  <c r="AC231" i="2"/>
  <c r="AB231" i="2"/>
  <c r="AA231" i="2"/>
  <c r="AC230" i="2"/>
  <c r="AB230" i="2"/>
  <c r="AA230" i="2"/>
  <c r="AC229" i="2"/>
  <c r="AB229" i="2"/>
  <c r="AA229" i="2"/>
  <c r="AC228" i="2"/>
  <c r="AB228" i="2"/>
  <c r="AA228" i="2"/>
  <c r="AC227" i="2"/>
  <c r="AB227" i="2"/>
  <c r="AA227" i="2"/>
  <c r="AC226" i="2"/>
  <c r="AB226" i="2"/>
  <c r="AA226" i="2"/>
  <c r="AC225" i="2"/>
  <c r="AB225" i="2"/>
  <c r="AA225" i="2"/>
  <c r="AC224" i="2"/>
  <c r="AB224" i="2"/>
  <c r="AA224" i="2"/>
  <c r="AC223" i="2"/>
  <c r="AB223" i="2"/>
  <c r="AA223" i="2"/>
  <c r="AC222" i="2"/>
  <c r="AB222" i="2"/>
  <c r="AA222" i="2"/>
  <c r="AC221" i="2"/>
  <c r="AB221" i="2"/>
  <c r="AA221" i="2"/>
  <c r="AC220" i="2"/>
  <c r="AB220" i="2"/>
  <c r="AA220" i="2"/>
  <c r="AC219" i="2"/>
  <c r="AB219" i="2"/>
  <c r="AA219" i="2"/>
  <c r="AC218" i="2"/>
  <c r="AB218" i="2"/>
  <c r="AA218" i="2"/>
  <c r="AC217" i="2"/>
  <c r="AB217" i="2"/>
  <c r="AA217" i="2"/>
  <c r="AC216" i="2"/>
  <c r="AB216" i="2"/>
  <c r="AA216" i="2"/>
  <c r="AC215" i="2"/>
  <c r="AB215" i="2"/>
  <c r="AA215" i="2"/>
  <c r="AC214" i="2"/>
  <c r="AB214" i="2"/>
  <c r="AA214" i="2"/>
  <c r="AC213" i="2"/>
  <c r="AB213" i="2"/>
  <c r="AA213" i="2"/>
  <c r="AC212" i="2"/>
  <c r="AB212" i="2"/>
  <c r="AA212" i="2"/>
  <c r="AC211" i="2"/>
  <c r="AB211" i="2"/>
  <c r="AA211" i="2"/>
  <c r="AC210" i="2"/>
  <c r="AB210" i="2"/>
  <c r="AA210" i="2"/>
  <c r="AC209" i="2"/>
  <c r="AB209" i="2"/>
  <c r="AA209" i="2"/>
  <c r="AC208" i="2"/>
  <c r="AB208" i="2"/>
  <c r="AA208" i="2"/>
  <c r="AC207" i="2"/>
  <c r="AB207" i="2"/>
  <c r="AA207" i="2"/>
  <c r="AC206" i="2"/>
  <c r="AB206" i="2"/>
  <c r="AA206" i="2"/>
  <c r="AC205" i="2"/>
  <c r="AB205" i="2"/>
  <c r="AA205" i="2"/>
  <c r="AC204" i="2"/>
  <c r="AB204" i="2"/>
  <c r="AA204" i="2"/>
  <c r="AC203" i="2"/>
  <c r="AB203" i="2"/>
  <c r="AA203" i="2"/>
  <c r="AC202" i="2"/>
  <c r="AB202" i="2"/>
  <c r="AA202" i="2"/>
  <c r="AC201" i="2"/>
  <c r="AB201" i="2"/>
  <c r="AA201" i="2"/>
  <c r="AC200" i="2"/>
  <c r="AB200" i="2"/>
  <c r="AA200" i="2"/>
  <c r="AC199" i="2"/>
  <c r="AB199" i="2"/>
  <c r="AA199" i="2"/>
  <c r="AC198" i="2"/>
  <c r="AB198" i="2"/>
  <c r="AA198" i="2"/>
  <c r="AC197" i="2"/>
  <c r="AB197" i="2"/>
  <c r="AA197" i="2"/>
  <c r="AC196" i="2"/>
  <c r="AB196" i="2"/>
  <c r="AA196" i="2"/>
  <c r="AC195" i="2"/>
  <c r="AB195" i="2"/>
  <c r="AA195" i="2"/>
  <c r="AC194" i="2"/>
  <c r="AB194" i="2"/>
  <c r="AA194" i="2"/>
  <c r="AC193" i="2"/>
  <c r="AB193" i="2"/>
  <c r="AA193" i="2"/>
  <c r="AC192" i="2"/>
  <c r="AB192" i="2"/>
  <c r="AA192" i="2"/>
  <c r="AC191" i="2"/>
  <c r="AB191" i="2"/>
  <c r="AA191" i="2"/>
  <c r="AC190" i="2"/>
  <c r="AB190" i="2"/>
  <c r="AA190" i="2"/>
  <c r="AC189" i="2"/>
  <c r="AB189" i="2"/>
  <c r="AA189" i="2"/>
  <c r="AC188" i="2"/>
  <c r="AB188" i="2"/>
  <c r="AA188" i="2"/>
  <c r="AC187" i="2"/>
  <c r="AB187" i="2"/>
  <c r="AA187" i="2"/>
  <c r="AC186" i="2"/>
  <c r="AB186" i="2"/>
  <c r="AA186" i="2"/>
  <c r="AC185" i="2"/>
  <c r="AB185" i="2"/>
  <c r="AA185" i="2"/>
  <c r="AC184" i="2"/>
  <c r="AB184" i="2"/>
  <c r="AA184" i="2"/>
  <c r="AC183" i="2"/>
  <c r="AB183" i="2"/>
  <c r="AA183" i="2"/>
  <c r="AC182" i="2"/>
  <c r="AB182" i="2"/>
  <c r="AA182" i="2"/>
  <c r="AC181" i="2"/>
  <c r="AB181" i="2"/>
  <c r="AA181" i="2"/>
  <c r="AC180" i="2"/>
  <c r="AB180" i="2"/>
  <c r="AA180" i="2"/>
  <c r="AC179" i="2"/>
  <c r="AB179" i="2"/>
  <c r="AA179" i="2"/>
  <c r="AC178" i="2"/>
  <c r="AB178" i="2"/>
  <c r="AA178" i="2"/>
  <c r="AC177" i="2"/>
  <c r="AB177" i="2"/>
  <c r="AA177" i="2"/>
  <c r="AC176" i="2"/>
  <c r="AB176" i="2"/>
  <c r="AA176" i="2"/>
  <c r="AC175" i="2"/>
  <c r="AB175" i="2"/>
  <c r="AA175" i="2"/>
  <c r="AC174" i="2"/>
  <c r="AB174" i="2"/>
  <c r="AA174" i="2"/>
  <c r="AC173" i="2"/>
  <c r="AB173" i="2"/>
  <c r="AA173" i="2"/>
  <c r="AC172" i="2"/>
  <c r="AB172" i="2"/>
  <c r="AA172" i="2"/>
  <c r="AC171" i="2"/>
  <c r="AB171" i="2"/>
  <c r="AA171" i="2"/>
  <c r="AC170" i="2"/>
  <c r="AB170" i="2"/>
  <c r="AA170" i="2"/>
  <c r="AC169" i="2"/>
  <c r="AB169" i="2"/>
  <c r="AA169" i="2"/>
  <c r="AC168" i="2"/>
  <c r="AB168" i="2"/>
  <c r="AA168" i="2"/>
  <c r="AC167" i="2"/>
  <c r="AB167" i="2"/>
  <c r="AA167" i="2"/>
  <c r="AC166" i="2"/>
  <c r="AB166" i="2"/>
  <c r="AA166" i="2"/>
  <c r="AC165" i="2"/>
  <c r="AB165" i="2"/>
  <c r="AA165" i="2"/>
  <c r="AC164" i="2"/>
  <c r="AB164" i="2"/>
  <c r="AA164" i="2"/>
  <c r="AC163" i="2"/>
  <c r="AB163" i="2"/>
  <c r="AA163" i="2"/>
  <c r="AC162" i="2"/>
  <c r="AB162" i="2"/>
  <c r="AA162" i="2"/>
  <c r="AC161" i="2"/>
  <c r="AB161" i="2"/>
  <c r="AA161" i="2"/>
  <c r="AC160" i="2"/>
  <c r="AB160" i="2"/>
  <c r="AA160" i="2"/>
  <c r="AC159" i="2"/>
  <c r="AB159" i="2"/>
  <c r="AA159" i="2"/>
  <c r="AC158" i="2"/>
  <c r="AB158" i="2"/>
  <c r="AA158" i="2"/>
  <c r="AC157" i="2"/>
  <c r="AB157" i="2"/>
  <c r="AA157" i="2"/>
  <c r="AC156" i="2"/>
  <c r="AB156" i="2"/>
  <c r="AA156" i="2"/>
  <c r="AC155" i="2"/>
  <c r="AB155" i="2"/>
  <c r="AA155" i="2"/>
  <c r="AC154" i="2"/>
  <c r="AB154" i="2"/>
  <c r="AA154" i="2"/>
  <c r="AC153" i="2"/>
  <c r="AB153" i="2"/>
  <c r="AA153" i="2"/>
  <c r="AC152" i="2"/>
  <c r="AB152" i="2"/>
  <c r="AA152" i="2"/>
  <c r="AC151" i="2"/>
  <c r="AB151" i="2"/>
  <c r="AA151" i="2"/>
  <c r="AC150" i="2"/>
  <c r="AB150" i="2"/>
  <c r="AA150" i="2"/>
  <c r="AC149" i="2"/>
  <c r="AB149" i="2"/>
  <c r="AA149" i="2"/>
  <c r="AC148" i="2"/>
  <c r="AB148" i="2"/>
  <c r="AA148" i="2"/>
  <c r="AC147" i="2"/>
  <c r="AB147" i="2"/>
  <c r="AA147" i="2"/>
  <c r="AC146" i="2"/>
  <c r="AB146" i="2"/>
  <c r="AA146" i="2"/>
  <c r="AC145" i="2"/>
  <c r="AB145" i="2"/>
  <c r="AA145" i="2"/>
  <c r="AC144" i="2"/>
  <c r="AB144" i="2"/>
  <c r="AA144" i="2"/>
  <c r="AC143" i="2"/>
  <c r="AB143" i="2"/>
  <c r="AA143" i="2"/>
  <c r="AC142" i="2"/>
  <c r="AB142" i="2"/>
  <c r="AA142" i="2"/>
  <c r="AC141" i="2"/>
  <c r="AB141" i="2"/>
  <c r="AA141" i="2"/>
  <c r="AC140" i="2"/>
  <c r="AB140" i="2"/>
  <c r="AA140" i="2"/>
  <c r="AC139" i="2"/>
  <c r="AB139" i="2"/>
  <c r="AA139" i="2"/>
  <c r="AC138" i="2"/>
  <c r="AB138" i="2"/>
  <c r="AA138" i="2"/>
  <c r="AC137" i="2"/>
  <c r="AB137" i="2"/>
  <c r="AA137" i="2"/>
  <c r="AC136" i="2"/>
  <c r="AB136" i="2"/>
  <c r="AA136" i="2"/>
  <c r="AC135" i="2"/>
  <c r="AB135" i="2"/>
  <c r="AA135" i="2"/>
  <c r="AC134" i="2"/>
  <c r="AB134" i="2"/>
  <c r="AA134" i="2"/>
  <c r="AC133" i="2"/>
  <c r="AB133" i="2"/>
  <c r="AA133" i="2"/>
  <c r="AC132" i="2"/>
  <c r="AB132" i="2"/>
  <c r="AA132" i="2"/>
  <c r="AC131" i="2"/>
  <c r="AB131" i="2"/>
  <c r="AA131" i="2"/>
  <c r="AC130" i="2"/>
  <c r="AB130" i="2"/>
  <c r="AA130" i="2"/>
  <c r="AC129" i="2"/>
  <c r="AB129" i="2"/>
  <c r="AA129" i="2"/>
  <c r="AC128" i="2"/>
  <c r="AB128" i="2"/>
  <c r="AA128" i="2"/>
  <c r="AC127" i="2"/>
  <c r="AB127" i="2"/>
  <c r="AA127" i="2"/>
  <c r="AC126" i="2"/>
  <c r="AB126" i="2"/>
  <c r="AA126" i="2"/>
  <c r="AC125" i="2"/>
  <c r="AB125" i="2"/>
  <c r="AA125" i="2"/>
  <c r="AC124" i="2"/>
  <c r="AB124" i="2"/>
  <c r="AA124" i="2"/>
  <c r="AC123" i="2"/>
  <c r="AB123" i="2"/>
  <c r="AA123" i="2"/>
  <c r="AC122" i="2"/>
  <c r="AB122" i="2"/>
  <c r="AA122" i="2"/>
  <c r="AC121" i="2"/>
  <c r="AB121" i="2"/>
  <c r="AA121" i="2"/>
  <c r="AC120" i="2"/>
  <c r="AB120" i="2"/>
  <c r="AA120" i="2"/>
  <c r="AC119" i="2"/>
  <c r="AB119" i="2"/>
  <c r="AA119" i="2"/>
  <c r="AC118" i="2"/>
  <c r="AB118" i="2"/>
  <c r="AA118" i="2"/>
  <c r="AC117" i="2"/>
  <c r="AB117" i="2"/>
  <c r="AA117" i="2"/>
  <c r="AC116" i="2"/>
  <c r="AB116" i="2"/>
  <c r="AA116" i="2"/>
  <c r="AC115" i="2"/>
  <c r="AB115" i="2"/>
  <c r="AA115" i="2"/>
  <c r="AC114" i="2"/>
  <c r="AB114" i="2"/>
  <c r="AA114" i="2"/>
  <c r="AC113" i="2"/>
  <c r="AB113" i="2"/>
  <c r="AA113" i="2"/>
  <c r="AC112" i="2"/>
  <c r="AB112" i="2"/>
  <c r="AA112" i="2"/>
  <c r="AC111" i="2"/>
  <c r="AB111" i="2"/>
  <c r="AA111" i="2"/>
  <c r="AC110" i="2"/>
  <c r="AB110" i="2"/>
  <c r="AA110" i="2"/>
  <c r="AC109" i="2"/>
  <c r="AB109" i="2"/>
  <c r="AA109" i="2"/>
  <c r="AC108" i="2"/>
  <c r="AB108" i="2"/>
  <c r="AA108" i="2"/>
  <c r="AC107" i="2"/>
  <c r="AB107" i="2"/>
  <c r="AA107" i="2"/>
  <c r="AC106" i="2"/>
  <c r="AB106" i="2"/>
  <c r="AA106" i="2"/>
  <c r="AC105" i="2"/>
  <c r="AB105" i="2"/>
  <c r="AA105" i="2"/>
  <c r="AC104" i="2"/>
  <c r="AB104" i="2"/>
  <c r="AA104" i="2"/>
  <c r="AC103" i="2"/>
  <c r="AB103" i="2"/>
  <c r="AA103" i="2"/>
  <c r="AC102" i="2"/>
  <c r="AB102" i="2"/>
  <c r="AA102" i="2"/>
  <c r="AC101" i="2"/>
  <c r="AB101" i="2"/>
  <c r="AA101" i="2"/>
  <c r="AC100" i="2"/>
  <c r="AB100" i="2"/>
  <c r="AA100" i="2"/>
  <c r="AC99" i="2"/>
  <c r="AB99" i="2"/>
  <c r="AA99" i="2"/>
  <c r="AC98" i="2"/>
  <c r="AB98" i="2"/>
  <c r="AA98" i="2"/>
  <c r="AC97" i="2"/>
  <c r="AB97" i="2"/>
  <c r="AA97" i="2"/>
  <c r="AC96" i="2"/>
  <c r="AB96" i="2"/>
  <c r="AA96" i="2"/>
  <c r="AC95" i="2"/>
  <c r="AB95" i="2"/>
  <c r="AA95" i="2"/>
  <c r="AC94" i="2"/>
  <c r="AB94" i="2"/>
  <c r="AA94" i="2"/>
  <c r="AC93" i="2"/>
  <c r="AB93" i="2"/>
  <c r="AA93" i="2"/>
  <c r="AC92" i="2"/>
  <c r="AB92" i="2"/>
  <c r="AA92" i="2"/>
  <c r="AC91" i="2"/>
  <c r="AB91" i="2"/>
  <c r="AA91" i="2"/>
  <c r="AC90" i="2"/>
  <c r="AB90" i="2"/>
  <c r="AA90" i="2"/>
  <c r="AC89" i="2"/>
  <c r="AB89" i="2"/>
  <c r="AA89" i="2"/>
  <c r="AC88" i="2"/>
  <c r="AB88" i="2"/>
  <c r="AA88" i="2"/>
  <c r="AC87" i="2"/>
  <c r="AB87" i="2"/>
  <c r="AA87" i="2"/>
  <c r="AC86" i="2"/>
  <c r="AB86" i="2"/>
  <c r="AA86" i="2"/>
  <c r="AC85" i="2"/>
  <c r="AB85" i="2"/>
  <c r="AA85" i="2"/>
  <c r="AC84" i="2"/>
  <c r="AB84" i="2"/>
  <c r="AA84" i="2"/>
  <c r="AC83" i="2"/>
  <c r="AB83" i="2"/>
  <c r="AA83" i="2"/>
  <c r="AC82" i="2"/>
  <c r="AB82" i="2"/>
  <c r="AA82" i="2"/>
  <c r="AC81" i="2"/>
  <c r="AB81" i="2"/>
  <c r="AA81" i="2"/>
  <c r="AC80" i="2"/>
  <c r="AB80" i="2"/>
  <c r="AA80" i="2"/>
  <c r="AC79" i="2"/>
  <c r="AB79" i="2"/>
  <c r="AA79" i="2"/>
  <c r="AC78" i="2"/>
  <c r="AB78" i="2"/>
  <c r="AA78" i="2"/>
  <c r="AC77" i="2"/>
  <c r="AB77" i="2"/>
  <c r="AA77" i="2"/>
  <c r="AC76" i="2"/>
  <c r="AB76" i="2"/>
  <c r="AA76" i="2"/>
  <c r="AC75" i="2"/>
  <c r="AB75" i="2"/>
  <c r="AA75" i="2"/>
  <c r="AC74" i="2"/>
  <c r="AB74" i="2"/>
  <c r="AA74" i="2"/>
  <c r="AC73" i="2"/>
  <c r="AB73" i="2"/>
  <c r="AA73" i="2"/>
  <c r="AC72" i="2"/>
  <c r="AB72" i="2"/>
  <c r="AA72" i="2"/>
  <c r="AC71" i="2"/>
  <c r="AB71" i="2"/>
  <c r="AA71" i="2"/>
  <c r="AC70" i="2"/>
  <c r="AB70" i="2"/>
  <c r="AA70" i="2"/>
  <c r="AC69" i="2"/>
  <c r="AB69" i="2"/>
  <c r="AA69" i="2"/>
  <c r="AC68" i="2"/>
  <c r="AB68" i="2"/>
  <c r="AA68" i="2"/>
  <c r="AC67" i="2"/>
  <c r="AB67" i="2"/>
  <c r="AA67" i="2"/>
  <c r="AC66" i="2"/>
  <c r="AB66" i="2"/>
  <c r="AA66" i="2"/>
  <c r="AC65" i="2"/>
  <c r="AB65" i="2"/>
  <c r="AA65" i="2"/>
  <c r="AC64" i="2"/>
  <c r="AB64" i="2"/>
  <c r="AA64" i="2"/>
  <c r="AC63" i="2"/>
  <c r="AB63" i="2"/>
  <c r="AA63" i="2"/>
  <c r="AC62" i="2"/>
  <c r="AB62" i="2"/>
  <c r="AA62" i="2"/>
  <c r="AC61" i="2"/>
  <c r="AB61" i="2"/>
  <c r="AA61" i="2"/>
  <c r="AC60" i="2"/>
  <c r="AB60" i="2"/>
  <c r="AA60" i="2"/>
  <c r="AC59" i="2"/>
  <c r="AB59" i="2"/>
  <c r="AA59" i="2"/>
  <c r="AC58" i="2"/>
  <c r="AB58" i="2"/>
  <c r="AA58" i="2"/>
  <c r="AC57" i="2"/>
  <c r="AB57" i="2"/>
  <c r="AA57" i="2"/>
  <c r="AC56" i="2"/>
  <c r="AB56" i="2"/>
  <c r="AA56" i="2"/>
  <c r="AC55" i="2"/>
  <c r="AB55" i="2"/>
  <c r="AA55" i="2"/>
  <c r="AC54" i="2"/>
  <c r="AB54" i="2"/>
  <c r="AA54" i="2"/>
  <c r="AC53" i="2"/>
  <c r="AB53" i="2"/>
  <c r="AA53" i="2"/>
  <c r="AC52" i="2"/>
  <c r="AB52" i="2"/>
  <c r="AA52" i="2"/>
  <c r="AC51" i="2"/>
  <c r="AB51" i="2"/>
  <c r="AA51" i="2"/>
  <c r="AC50" i="2"/>
  <c r="AB50" i="2"/>
  <c r="AA50" i="2"/>
  <c r="AC49" i="2"/>
  <c r="AB49" i="2"/>
  <c r="AA49" i="2"/>
  <c r="AC48" i="2"/>
  <c r="AB48" i="2"/>
  <c r="AA48" i="2"/>
  <c r="AC47" i="2"/>
  <c r="AB47" i="2"/>
  <c r="AA47" i="2"/>
  <c r="AC46" i="2"/>
  <c r="AB46" i="2"/>
  <c r="AA46" i="2"/>
  <c r="AC45" i="2"/>
  <c r="AB45" i="2"/>
  <c r="AA45" i="2"/>
  <c r="AC44" i="2"/>
  <c r="AB44" i="2"/>
  <c r="AA44" i="2"/>
  <c r="AC43" i="2"/>
  <c r="AB43" i="2"/>
  <c r="AA43" i="2"/>
  <c r="AC42" i="2"/>
  <c r="AB42" i="2"/>
  <c r="AA42" i="2"/>
  <c r="AC41" i="2"/>
  <c r="AB41" i="2"/>
  <c r="AA41" i="2"/>
  <c r="AC40" i="2"/>
  <c r="AB40" i="2"/>
  <c r="AA40" i="2"/>
  <c r="AC39" i="2"/>
  <c r="AB39" i="2"/>
  <c r="AA39" i="2"/>
  <c r="AC38" i="2"/>
  <c r="AB38" i="2"/>
  <c r="AA38" i="2"/>
  <c r="AC37" i="2"/>
  <c r="AB37" i="2"/>
  <c r="AA37" i="2"/>
  <c r="AC36" i="2"/>
  <c r="AB36" i="2"/>
  <c r="AA36" i="2"/>
  <c r="AC35" i="2"/>
  <c r="AB35" i="2"/>
  <c r="AA35" i="2"/>
  <c r="AC34" i="2"/>
  <c r="AB34" i="2"/>
  <c r="AA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7" i="2"/>
  <c r="AB7" i="2"/>
  <c r="AA7" i="2"/>
  <c r="AC6" i="2"/>
  <c r="AB6" i="2"/>
  <c r="AA6" i="2"/>
  <c r="AC5" i="2"/>
  <c r="AB5" i="2"/>
  <c r="AA5" i="2"/>
  <c r="AC4" i="2"/>
  <c r="AB4" i="2"/>
  <c r="AA4" i="2"/>
  <c r="AC3" i="2"/>
  <c r="AB3" i="2"/>
  <c r="AA3" i="2"/>
  <c r="AC2" i="2"/>
  <c r="AB2" i="2"/>
  <c r="AA2" i="2"/>
</calcChain>
</file>

<file path=xl/sharedStrings.xml><?xml version="1.0" encoding="utf-8"?>
<sst xmlns="http://schemas.openxmlformats.org/spreadsheetml/2006/main" count="4872" uniqueCount="1316">
  <si>
    <t>Student training dataset</t>
  </si>
  <si>
    <t>Movie opening-weekend revenue regression</t>
  </si>
  <si>
    <t>Training period</t>
  </si>
  <si>
    <t>Domestic wide releases in 2019 and 2022-2025</t>
  </si>
  <si>
    <t>Outcome (Y)</t>
  </si>
  <si>
    <t>opening_weekend_revenue_musd (USD millions)</t>
  </si>
  <si>
    <t>movie_id</t>
  </si>
  <si>
    <t>title</t>
  </si>
  <si>
    <t>release_date</t>
  </si>
  <si>
    <t>release_year</t>
  </si>
  <si>
    <t>release_month</t>
  </si>
  <si>
    <t>release_quarter</t>
  </si>
  <si>
    <t>opening_weekend_revenue_musd</t>
  </si>
  <si>
    <t>production_budget_musd</t>
  </si>
  <si>
    <t>opening_theaters</t>
  </si>
  <si>
    <t>runtime_minutes</t>
  </si>
  <si>
    <t>rating</t>
  </si>
  <si>
    <t>rating_group</t>
  </si>
  <si>
    <t>genre</t>
  </si>
  <si>
    <t>genre_group</t>
  </si>
  <si>
    <t>distributor</t>
  </si>
  <si>
    <t>distributor_group</t>
  </si>
  <si>
    <t>production_countries</t>
  </si>
  <si>
    <t>production_origin</t>
  </si>
  <si>
    <t>summer_release</t>
  </si>
  <si>
    <t>holiday_release</t>
  </si>
  <si>
    <t>source_dataset</t>
  </si>
  <si>
    <t>source_url</t>
  </si>
  <si>
    <t>audience_score</t>
  </si>
  <si>
    <t>domestic_box_office_musd</t>
  </si>
  <si>
    <t>foreign_box_office_musd</t>
  </si>
  <si>
    <t>worldwide_box_office_musd</t>
  </si>
  <si>
    <t>opening_revenue_per_theater_kusd</t>
  </si>
  <si>
    <t>opening_budget_recovery_pct</t>
  </si>
  <si>
    <t>worldwide_budget_recovery_pct</t>
  </si>
  <si>
    <t>TRN-0001</t>
  </si>
  <si>
    <t>Escape Room</t>
  </si>
  <si>
    <t>Q1</t>
  </si>
  <si>
    <t>PG-13</t>
  </si>
  <si>
    <t>Horror</t>
  </si>
  <si>
    <t>Sony Pictures</t>
  </si>
  <si>
    <t>Sony</t>
  </si>
  <si>
    <t>United States</t>
  </si>
  <si>
    <t>US_only</t>
  </si>
  <si>
    <t>The Numbers release schedule and movie page; Lock5Data HollywoodMovies</t>
  </si>
  <si>
    <t>https://www.the-numbers.com/movie/Escape-Room-(2019)</t>
  </si>
  <si>
    <t>TRN-0002</t>
  </si>
  <si>
    <t>A Dog’s Way Home</t>
  </si>
  <si>
    <t>PG</t>
  </si>
  <si>
    <t>G_or_PG</t>
  </si>
  <si>
    <t>Drama</t>
  </si>
  <si>
    <t>https://www.the-numbers.com/movie/Dogs-Way-Home-A-(2019)</t>
  </si>
  <si>
    <t>TRN-0003</t>
  </si>
  <si>
    <t>Replicas</t>
  </si>
  <si>
    <t>Thriller/Suspense</t>
  </si>
  <si>
    <t>Entertainment Studios Motion Pictures</t>
  </si>
  <si>
    <t>Other</t>
  </si>
  <si>
    <t>The Numbers release schedule and movie page</t>
  </si>
  <si>
    <t>https://www.the-numbers.com/movie/Replicas-(2018)</t>
  </si>
  <si>
    <t>TRN-0004</t>
  </si>
  <si>
    <t>Dragon Ball Super: Broly</t>
  </si>
  <si>
    <t>Action</t>
  </si>
  <si>
    <t>FUNimation</t>
  </si>
  <si>
    <t>Japan</t>
  </si>
  <si>
    <t>International_or_Coproduction</t>
  </si>
  <si>
    <t>https://www.the-numbers.com/movie/Dragon-Ball-Super-Broly-(2018-Japan)</t>
  </si>
  <si>
    <t>TRN-0005</t>
  </si>
  <si>
    <t>Glass</t>
  </si>
  <si>
    <t>Universal</t>
  </si>
  <si>
    <t>https://www.the-numbers.com/movie/Glass-(2019)</t>
  </si>
  <si>
    <t>TRN-0006</t>
  </si>
  <si>
    <t>The Kid Who Would Be King</t>
  </si>
  <si>
    <t>Adventure</t>
  </si>
  <si>
    <t>20th Century Fox</t>
  </si>
  <si>
    <t>Disney_20th_Century</t>
  </si>
  <si>
    <t>United Kingdom</t>
  </si>
  <si>
    <t>https://www.the-numbers.com/movie/Kid-Who-Would-Be-King-The-(UK)-(2019)</t>
  </si>
  <si>
    <t>TRN-0007</t>
  </si>
  <si>
    <t>Miss Bala</t>
  </si>
  <si>
    <t>United States, Mexico</t>
  </si>
  <si>
    <t>https://www.the-numbers.com/movie/Miss-Bala-(Remake)-(2019)</t>
  </si>
  <si>
    <t>TRN-0008</t>
  </si>
  <si>
    <t>Cold Pursuit</t>
  </si>
  <si>
    <t>R</t>
  </si>
  <si>
    <t>Lionsgate</t>
  </si>
  <si>
    <t>https://www.the-numbers.com/movie/Cold-Pursuit-(2019)</t>
  </si>
  <si>
    <t>TRN-0010</t>
  </si>
  <si>
    <t>The Prodigy</t>
  </si>
  <si>
    <t>Orion Pictures</t>
  </si>
  <si>
    <t>United States, Hong Kong</t>
  </si>
  <si>
    <t>https://www.the-numbers.com/movie/Prodigy-The-(2019)</t>
  </si>
  <si>
    <t>TRN-0011</t>
  </si>
  <si>
    <t>What Men Want</t>
  </si>
  <si>
    <t>Romantic Comedy</t>
  </si>
  <si>
    <t>Comedy</t>
  </si>
  <si>
    <t>Paramount Pictures</t>
  </si>
  <si>
    <t>Paramount</t>
  </si>
  <si>
    <t>https://www.the-numbers.com/movie/What-Men-Want-(2019)</t>
  </si>
  <si>
    <t>TRN-0013</t>
  </si>
  <si>
    <t>Alita: Battle Angel</t>
  </si>
  <si>
    <t>https://www.the-numbers.com/movie/Alita-Battle-Angel-(2019)</t>
  </si>
  <si>
    <t>TRN-0014</t>
  </si>
  <si>
    <t>Run the Race</t>
  </si>
  <si>
    <t>Roadside Attractions</t>
  </si>
  <si>
    <t>https://www.the-numbers.com/movie/Run-the-Race-(2019)</t>
  </si>
  <si>
    <t>TRN-0015</t>
  </si>
  <si>
    <t>Captain Marvel</t>
  </si>
  <si>
    <t>Walt Disney</t>
  </si>
  <si>
    <t>https://www.the-numbers.com/movie/Captain-Marvel-(2019)</t>
  </si>
  <si>
    <t>TRN-0016</t>
  </si>
  <si>
    <t>Captive State</t>
  </si>
  <si>
    <t>Focus Features</t>
  </si>
  <si>
    <t>https://www.the-numbers.com/movie/Captive-State-(2019)</t>
  </si>
  <si>
    <t>TRN-0017</t>
  </si>
  <si>
    <t>Five Feet Apart</t>
  </si>
  <si>
    <t>https://www.the-numbers.com/movie/Five-Feet-Apart-(2019)</t>
  </si>
  <si>
    <t>TRN-0018</t>
  </si>
  <si>
    <t>Us</t>
  </si>
  <si>
    <t>https://www.the-numbers.com/movie/Us-(2019)</t>
  </si>
  <si>
    <t>TRN-0019</t>
  </si>
  <si>
    <t>Wonder Park</t>
  </si>
  <si>
    <t>United States, Spain</t>
  </si>
  <si>
    <t>https://www.the-numbers.com/movie/Wonder-Park-(2019)</t>
  </si>
  <si>
    <t>TRN-0020</t>
  </si>
  <si>
    <t>Dumbo</t>
  </si>
  <si>
    <t>https://www.the-numbers.com/movie/Dumbo-(2019)</t>
  </si>
  <si>
    <t>TRN-0021</t>
  </si>
  <si>
    <t>The Beach Bum</t>
  </si>
  <si>
    <t>Neon</t>
  </si>
  <si>
    <t>https://www.the-numbers.com/movie/Beach-Bum-The-(2019)</t>
  </si>
  <si>
    <t>TRN-0022</t>
  </si>
  <si>
    <t>Unplanned</t>
  </si>
  <si>
    <t>SDG Releasing</t>
  </si>
  <si>
    <t>https://www.the-numbers.com/movie/Unplanned-(2019)</t>
  </si>
  <si>
    <t>TRN-0023</t>
  </si>
  <si>
    <t>Pet Sematary</t>
  </si>
  <si>
    <t>Q2</t>
  </si>
  <si>
    <t>https://www.the-numbers.com/movie/Pet-Sematary-(2019)</t>
  </si>
  <si>
    <t>TRN-0024</t>
  </si>
  <si>
    <t>Shazam!</t>
  </si>
  <si>
    <t>Warner Bros.</t>
  </si>
  <si>
    <t>Warner_Bros</t>
  </si>
  <si>
    <t>https://www.the-numbers.com/movie/Shazam-(2019)</t>
  </si>
  <si>
    <t>TRN-0026</t>
  </si>
  <si>
    <t>After</t>
  </si>
  <si>
    <t>Aviron Pictures</t>
  </si>
  <si>
    <t>https://www.the-numbers.com/movie/After-(2019)</t>
  </si>
  <si>
    <t>TRN-0028</t>
  </si>
  <si>
    <t>The Curse of La Llorona</t>
  </si>
  <si>
    <t>https://www.the-numbers.com/movie/Curse-of-La-Llorona-The-(2019)</t>
  </si>
  <si>
    <t>TRN-0029</t>
  </si>
  <si>
    <t>Avengers: Endgame</t>
  </si>
  <si>
    <t>https://www.the-numbers.com/movie/Avengers-Endgame-(2019)</t>
  </si>
  <si>
    <t>TRN-0031</t>
  </si>
  <si>
    <t>Long Shot</t>
  </si>
  <si>
    <t>https://www.the-numbers.com/movie/Long-Shot-(2019)</t>
  </si>
  <si>
    <t>TRN-0032</t>
  </si>
  <si>
    <t>The Intruder</t>
  </si>
  <si>
    <t>https://www.the-numbers.com/movie/Intruder-The-(2019)</t>
  </si>
  <si>
    <t>TRN-0033</t>
  </si>
  <si>
    <t>UglyDolls</t>
  </si>
  <si>
    <t>STX Entertainment</t>
  </si>
  <si>
    <t>https://www.the-numbers.com/movie/UglyDolls-(2019)</t>
  </si>
  <si>
    <t>TRN-0034</t>
  </si>
  <si>
    <t>Pokémon: Detective Pikachu</t>
  </si>
  <si>
    <t>United States, Japan</t>
  </si>
  <si>
    <t>https://www.the-numbers.com/movie/Pokemon-Detective-Pikachu-(2019)</t>
  </si>
  <si>
    <t>TRN-0035</t>
  </si>
  <si>
    <t>Poms</t>
  </si>
  <si>
    <t>https://www.the-numbers.com/movie/Poms-(UK)-(2019)</t>
  </si>
  <si>
    <t>TRN-0036</t>
  </si>
  <si>
    <t>The Hustle</t>
  </si>
  <si>
    <t>United Artists</t>
  </si>
  <si>
    <t>https://www.the-numbers.com/movie/Hustle-The-(2019)</t>
  </si>
  <si>
    <t>TRN-0037</t>
  </si>
  <si>
    <t>Tolkien</t>
  </si>
  <si>
    <t>Fox Searchlight</t>
  </si>
  <si>
    <t>https://www.the-numbers.com/movie/Tolkien-(2019)</t>
  </si>
  <si>
    <t>TRN-0038</t>
  </si>
  <si>
    <t>John Wick: Chapter 3 — Parabellum</t>
  </si>
  <si>
    <t>https://www.the-numbers.com/movie/John-Wick-Chapter-3-Parabellum-(2019)</t>
  </si>
  <si>
    <t>TRN-0039</t>
  </si>
  <si>
    <t>The Sun is Also a Star</t>
  </si>
  <si>
    <t>https://www.the-numbers.com/movie/Sun-is-Also-a-Star-The-(2019)</t>
  </si>
  <si>
    <t>TRN-0040</t>
  </si>
  <si>
    <t>Aladdin</t>
  </si>
  <si>
    <t>United States, India</t>
  </si>
  <si>
    <t>https://www.the-numbers.com/movie/Aladdin-(2019)</t>
  </si>
  <si>
    <t>TRN-0042</t>
  </si>
  <si>
    <t>BrightBurn</t>
  </si>
  <si>
    <t>https://www.the-numbers.com/movie/Brightburn-(2019)</t>
  </si>
  <si>
    <t>TRN-0043</t>
  </si>
  <si>
    <t>Godzilla: King of the Monsters</t>
  </si>
  <si>
    <t>https://www.the-numbers.com/movie/Godzilla-King-of-the-Monsters-(2019)</t>
  </si>
  <si>
    <t>TRN-0044</t>
  </si>
  <si>
    <t>MA</t>
  </si>
  <si>
    <t>https://www.the-numbers.com/movie/Ma-(2019)</t>
  </si>
  <si>
    <t>TRN-0045</t>
  </si>
  <si>
    <t>Rocketman</t>
  </si>
  <si>
    <t>United Kingdom, United States</t>
  </si>
  <si>
    <t>https://www.the-numbers.com/movie/Rocketman-(UK)-(2019)</t>
  </si>
  <si>
    <t>TRN-0046</t>
  </si>
  <si>
    <t>Dark Phoenix</t>
  </si>
  <si>
    <t>https://www.the-numbers.com/movie/Dark-Phoenix-(2019)</t>
  </si>
  <si>
    <t>TRN-0047</t>
  </si>
  <si>
    <t>The Secret Life of Pets 2</t>
  </si>
  <si>
    <t>https://www.the-numbers.com/movie/Secret-Life-of-Pets-2-The-(2019)</t>
  </si>
  <si>
    <t>TRN-0048</t>
  </si>
  <si>
    <t>Men in Black: International</t>
  </si>
  <si>
    <t>https://www.the-numbers.com/movie/Men-in-Black-International-(2019)</t>
  </si>
  <si>
    <t>TRN-0049</t>
  </si>
  <si>
    <t>Shaft</t>
  </si>
  <si>
    <t>https://www.the-numbers.com/movie/Shaft-(2019)</t>
  </si>
  <si>
    <t>TRN-0050</t>
  </si>
  <si>
    <t>Anna</t>
  </si>
  <si>
    <t>France</t>
  </si>
  <si>
    <t>https://www.the-numbers.com/movie/Anna-(France)-(2019)</t>
  </si>
  <si>
    <t>TRN-0051</t>
  </si>
  <si>
    <t>Annabelle Comes Home</t>
  </si>
  <si>
    <t>https://www.the-numbers.com/movie/Annabelle-Comes-Home-(2019)</t>
  </si>
  <si>
    <t>TRN-0052</t>
  </si>
  <si>
    <t>Spider-Man: Far From Home</t>
  </si>
  <si>
    <t>Q3</t>
  </si>
  <si>
    <t>https://www.the-numbers.com/movie/Spider-Man-Far-From-Home-(2019)</t>
  </si>
  <si>
    <t>TRN-0053</t>
  </si>
  <si>
    <t>Midsommar</t>
  </si>
  <si>
    <t>A24</t>
  </si>
  <si>
    <t>United States, Sweden</t>
  </si>
  <si>
    <t>https://www.the-numbers.com/movie/Midsommar-(2019)</t>
  </si>
  <si>
    <t>TRN-0054</t>
  </si>
  <si>
    <t>Crawl</t>
  </si>
  <si>
    <t>https://www.the-numbers.com/movie/Crawl-(2019)</t>
  </si>
  <si>
    <t>TRN-0055</t>
  </si>
  <si>
    <t>Stuber</t>
  </si>
  <si>
    <t>https://www.the-numbers.com/movie/Stuber-(2019)</t>
  </si>
  <si>
    <t>TRN-0056</t>
  </si>
  <si>
    <t>The Lion King</t>
  </si>
  <si>
    <t>https://www.the-numbers.com/movie/Lion-King-The-(Live-Action)-(2019)</t>
  </si>
  <si>
    <t>TRN-0059</t>
  </si>
  <si>
    <t>Brian Banks</t>
  </si>
  <si>
    <t>Bleecker Street</t>
  </si>
  <si>
    <t>https://www.the-numbers.com/movie/Brian-Banks-(2019)</t>
  </si>
  <si>
    <t>TRN-0060</t>
  </si>
  <si>
    <t>Dora and the Lost City of Gold</t>
  </si>
  <si>
    <t>United States, Australia</t>
  </si>
  <si>
    <t>https://www.the-numbers.com/movie/Dora-and-the-Lost-City-of-Gold-(2019)</t>
  </si>
  <si>
    <t>TRN-0061</t>
  </si>
  <si>
    <t>Scary Stories to Tell in the Dark</t>
  </si>
  <si>
    <t>United States, Canada</t>
  </si>
  <si>
    <t>https://www.the-numbers.com/movie/Scary-Stories-to-Tell-in-the-Dark-(2019)</t>
  </si>
  <si>
    <t>TRN-0062</t>
  </si>
  <si>
    <t>The Art of Racing in the Rain</t>
  </si>
  <si>
    <t>https://www.the-numbers.com/movie/Art-of-Racing-in-the-Rain-The-(2019)</t>
  </si>
  <si>
    <t>TRN-0063</t>
  </si>
  <si>
    <t>The Angry Birds Movie 2</t>
  </si>
  <si>
    <t>United States, Finland</t>
  </si>
  <si>
    <t>https://www.the-numbers.com/movie/Angry-Birds-Movie-2-The-(2019)</t>
  </si>
  <si>
    <t>TRN-0064</t>
  </si>
  <si>
    <t>47 Meters Down: Uncaged</t>
  </si>
  <si>
    <t>https://www.the-numbers.com/movie/47-Meters-Down-Uncaged-(2019)</t>
  </si>
  <si>
    <t>TRN-0065</t>
  </si>
  <si>
    <t>Good Boys</t>
  </si>
  <si>
    <t>https://www.the-numbers.com/movie/Good-Boys-(2019)</t>
  </si>
  <si>
    <t>TRN-0066</t>
  </si>
  <si>
    <t>Where’d You Go Bernadette</t>
  </si>
  <si>
    <t>https://www.the-numbers.com/movie/Whered-You-Go-Bernadette-(2019)</t>
  </si>
  <si>
    <t>TRN-0067</t>
  </si>
  <si>
    <t>Ready or Not</t>
  </si>
  <si>
    <t>Black Comedy</t>
  </si>
  <si>
    <t>https://www.the-numbers.com/movie/Ready-or-Not-(2019)</t>
  </si>
  <si>
    <t>TRN-0068</t>
  </si>
  <si>
    <t>Angel Has Fallen</t>
  </si>
  <si>
    <t>https://www.the-numbers.com/movie/Angel-Has-Fallen-(2019)</t>
  </si>
  <si>
    <t>TRN-0069</t>
  </si>
  <si>
    <t>Overcomer</t>
  </si>
  <si>
    <t>https://www.the-numbers.com/movie/Overcomer-(2019)</t>
  </si>
  <si>
    <t>TRN-0070</t>
  </si>
  <si>
    <t>Don’t Let Go</t>
  </si>
  <si>
    <t>OTL Releasing</t>
  </si>
  <si>
    <t>https://www.the-numbers.com/movie/Dont-Let-Go</t>
  </si>
  <si>
    <t>TRN-0071</t>
  </si>
  <si>
    <t>It: Chapter Two</t>
  </si>
  <si>
    <t>https://www.the-numbers.com/movie/It-Chapter-Two-(2019)</t>
  </si>
  <si>
    <t>TRN-0072</t>
  </si>
  <si>
    <t>Hustlers</t>
  </si>
  <si>
    <t>https://www.the-numbers.com/movie/Hustlers-(2019)</t>
  </si>
  <si>
    <t>TRN-0073</t>
  </si>
  <si>
    <t>The Goldfinch</t>
  </si>
  <si>
    <t>https://www.the-numbers.com/movie/Goldfinch-The-(2019)</t>
  </si>
  <si>
    <t>TRN-0074</t>
  </si>
  <si>
    <t>Ad Astra</t>
  </si>
  <si>
    <t>United States, Brazil</t>
  </si>
  <si>
    <t>https://www.the-numbers.com/movie/Ad-Astra-(2019)</t>
  </si>
  <si>
    <t>TRN-0075</t>
  </si>
  <si>
    <t>Rambo: Last Blood</t>
  </si>
  <si>
    <t>https://www.the-numbers.com/movie/Rambo-Last-Blood-(2019)</t>
  </si>
  <si>
    <t>TRN-0076</t>
  </si>
  <si>
    <t>Abominable</t>
  </si>
  <si>
    <t>United States, China</t>
  </si>
  <si>
    <t>https://www.the-numbers.com/movie/Abominable-(2019)</t>
  </si>
  <si>
    <t>TRN-0077</t>
  </si>
  <si>
    <t>Joker</t>
  </si>
  <si>
    <t>Q4</t>
  </si>
  <si>
    <t>https://www.the-numbers.com/movie/Joker-(2019)</t>
  </si>
  <si>
    <t>TRN-0078</t>
  </si>
  <si>
    <t>Gemini Man</t>
  </si>
  <si>
    <t>https://www.the-numbers.com/movie/Gemini-Man-(2019)</t>
  </si>
  <si>
    <t>TRN-0079</t>
  </si>
  <si>
    <t>Jexi</t>
  </si>
  <si>
    <t>https://www.the-numbers.com/movie/Jexi</t>
  </si>
  <si>
    <t>TRN-0080</t>
  </si>
  <si>
    <t>The Addams Family</t>
  </si>
  <si>
    <t>https://www.the-numbers.com/movie/Addams-Family-The-(2019)</t>
  </si>
  <si>
    <t>TRN-0081</t>
  </si>
  <si>
    <t>Zombieland: Double Tap</t>
  </si>
  <si>
    <t>https://www.the-numbers.com/movie/Zombieland-Double-Tap-(2019)</t>
  </si>
  <si>
    <t>TRN-0082</t>
  </si>
  <si>
    <t>Black and Blue</t>
  </si>
  <si>
    <t>https://www.the-numbers.com/movie/Black-and-Blue-(2019)</t>
  </si>
  <si>
    <t>TRN-0083</t>
  </si>
  <si>
    <t>Countdown</t>
  </si>
  <si>
    <t>https://www.the-numbers.com/movie/Countdown-(2019)</t>
  </si>
  <si>
    <t>TRN-0084</t>
  </si>
  <si>
    <t>The Current War: Director’s Cut</t>
  </si>
  <si>
    <t>101 Studios</t>
  </si>
  <si>
    <t>https://www.the-numbers.com/movie/Current-War-Directors-Cut-The</t>
  </si>
  <si>
    <t>TRN-0085</t>
  </si>
  <si>
    <t>Arctic Dogs</t>
  </si>
  <si>
    <t>Canada, United Kingdom, Republic of Korea, United States, India, Japan, China</t>
  </si>
  <si>
    <t>https://www.the-numbers.com/movie/Arctic-Dogs-(2019)</t>
  </si>
  <si>
    <t>TRN-0086</t>
  </si>
  <si>
    <t>Harriet</t>
  </si>
  <si>
    <t>https://www.the-numbers.com/movie/Harriet-(2019)</t>
  </si>
  <si>
    <t>TRN-0087</t>
  </si>
  <si>
    <t>Motherless Brooklyn</t>
  </si>
  <si>
    <t>https://www.the-numbers.com/movie/Motherless-Brooklyn-(2019)</t>
  </si>
  <si>
    <t>TRN-0088</t>
  </si>
  <si>
    <t>Terminator: Dark Fate</t>
  </si>
  <si>
    <t>https://www.the-numbers.com/movie/Terminator-Dark-Fate-(2019)</t>
  </si>
  <si>
    <t>TRN-0089</t>
  </si>
  <si>
    <t>Last Christmas</t>
  </si>
  <si>
    <t>https://www.the-numbers.com/movie/Last-Christmas-(UK)-(2019)</t>
  </si>
  <si>
    <t>TRN-0090</t>
  </si>
  <si>
    <t>Midway</t>
  </si>
  <si>
    <t>https://www.the-numbers.com/movie/Midway-(2019)</t>
  </si>
  <si>
    <t>TRN-0091</t>
  </si>
  <si>
    <t>Charlie’s Angels</t>
  </si>
  <si>
    <t>https://www.the-numbers.com/movie/Charlies-Angels-(2019)</t>
  </si>
  <si>
    <t>TRN-0092</t>
  </si>
  <si>
    <t>Ford v. Ferrari</t>
  </si>
  <si>
    <t>https://www.the-numbers.com/movie/Ford-v-Ferrari-(2019)</t>
  </si>
  <si>
    <t>TRN-0093</t>
  </si>
  <si>
    <t>The Good Liar</t>
  </si>
  <si>
    <t>https://www.the-numbers.com/movie/Good-Liar-The-(2019)</t>
  </si>
  <si>
    <t>TRN-0094</t>
  </si>
  <si>
    <t>21 Bridges</t>
  </si>
  <si>
    <t>https://www.the-numbers.com/movie/21-Bridges-(2019)</t>
  </si>
  <si>
    <t>TRN-0095</t>
  </si>
  <si>
    <t>A Beautiful Day in the Neighborhood</t>
  </si>
  <si>
    <t>https://www.the-numbers.com/movie/Beautiful-Day-in-the-Neighborhood-A-(2019)</t>
  </si>
  <si>
    <t>TRN-0096</t>
  </si>
  <si>
    <t>Frozen II</t>
  </si>
  <si>
    <t>Musical</t>
  </si>
  <si>
    <t>https://www.the-numbers.com/movie/Frozen-II-(2019)</t>
  </si>
  <si>
    <t>TRN-0097</t>
  </si>
  <si>
    <t>Knives Out</t>
  </si>
  <si>
    <t>https://www.the-numbers.com/movie/Knives-Out-(2019)</t>
  </si>
  <si>
    <t>TRN-0098</t>
  </si>
  <si>
    <t>Queen &amp; Slim</t>
  </si>
  <si>
    <t>https://www.the-numbers.com/movie/Queen-and-Slim-(2019)</t>
  </si>
  <si>
    <t>TRN-0099</t>
  </si>
  <si>
    <t>PLAYMOBIL</t>
  </si>
  <si>
    <t>France, Canada, Germany</t>
  </si>
  <si>
    <t>https://www.the-numbers.com/movie/Playmobil-(2019)</t>
  </si>
  <si>
    <t>TRN-0100</t>
  </si>
  <si>
    <t>Black Christmas</t>
  </si>
  <si>
    <t>United States, New Zealand</t>
  </si>
  <si>
    <t>https://www.the-numbers.com/movie/Black-Christmas-(2019)</t>
  </si>
  <si>
    <t>TRN-0101</t>
  </si>
  <si>
    <t>Jumanji: The Next Level</t>
  </si>
  <si>
    <t>https://www.the-numbers.com/movie/Jumanji-The-Next-Level-(2019)</t>
  </si>
  <si>
    <t>TRN-0102</t>
  </si>
  <si>
    <t>Richard Jewell</t>
  </si>
  <si>
    <t>https://www.the-numbers.com/movie/Richard-Jewell</t>
  </si>
  <si>
    <t>TRN-0103</t>
  </si>
  <si>
    <t>Star Wars: The Rise of Skywalker</t>
  </si>
  <si>
    <t>https://www.the-numbers.com/movie/Star-Wars-The-Rise-of-Skywalker-(2019)</t>
  </si>
  <si>
    <t>TRN-0105</t>
  </si>
  <si>
    <t>Spies in Disguise</t>
  </si>
  <si>
    <t>https://www.the-numbers.com/movie/Spies-in-Disguise-(2019)</t>
  </si>
  <si>
    <t>TRN-0106</t>
  </si>
  <si>
    <t>The 355</t>
  </si>
  <si>
    <t>https://www.the-numbers.com/movie/355-The-(2021)</t>
  </si>
  <si>
    <t>TRN-0107</t>
  </si>
  <si>
    <t>Scream</t>
  </si>
  <si>
    <t>https://www.the-numbers.com/movie/Scream-(2022)</t>
  </si>
  <si>
    <t>TRN-0108</t>
  </si>
  <si>
    <t>The King’s Daughter</t>
  </si>
  <si>
    <t>Gravitas Ventures</t>
  </si>
  <si>
    <t>https://www.the-numbers.com/movie/Kings-Daughter-The-(2022)</t>
  </si>
  <si>
    <t>TRN-0109</t>
  </si>
  <si>
    <t>Moonfall</t>
  </si>
  <si>
    <t>https://www.the-numbers.com/movie/Moonfall-(2022)</t>
  </si>
  <si>
    <t>TRN-0110</t>
  </si>
  <si>
    <t>jackass forever</t>
  </si>
  <si>
    <t>Reality</t>
  </si>
  <si>
    <t>https://www.the-numbers.com/movie/Jackass-Forever-(2021)</t>
  </si>
  <si>
    <t>TRN-0111</t>
  </si>
  <si>
    <t>Blacklight</t>
  </si>
  <si>
    <t>Briarcliff Entertainment</t>
  </si>
  <si>
    <t>https://www.the-numbers.com/movie/Blacklight-(2022)</t>
  </si>
  <si>
    <t>TRN-0112</t>
  </si>
  <si>
    <t>Death on the Nile</t>
  </si>
  <si>
    <t>20th Century Studios</t>
  </si>
  <si>
    <t>https://www.the-numbers.com/movie/Death-on-the-Nile-(2022)</t>
  </si>
  <si>
    <t>TRN-0114</t>
  </si>
  <si>
    <t>Dog</t>
  </si>
  <si>
    <t>https://www.the-numbers.com/movie/Dog-(2021-Dir-Channing-Tatum)</t>
  </si>
  <si>
    <t>TRN-0115</t>
  </si>
  <si>
    <t>Uncharted</t>
  </si>
  <si>
    <t>https://www.the-numbers.com/movie/Uncharted-(2022)</t>
  </si>
  <si>
    <t>TRN-0117</t>
  </si>
  <si>
    <t>The Outfit</t>
  </si>
  <si>
    <t>https://www.the-numbers.com/movie/Outfit-The-(2022)</t>
  </si>
  <si>
    <t>TRN-0118</t>
  </si>
  <si>
    <t>X</t>
  </si>
  <si>
    <t>https://www.the-numbers.com/movie/X-(2022-Horror)</t>
  </si>
  <si>
    <t>TRN-0119</t>
  </si>
  <si>
    <t>The Lost City</t>
  </si>
  <si>
    <t>https://www.the-numbers.com/movie/Lost-City-The-(2022)</t>
  </si>
  <si>
    <t>TRN-0120</t>
  </si>
  <si>
    <t>Morbius</t>
  </si>
  <si>
    <t>https://www.the-numbers.com/movie/Morbius-(2020)</t>
  </si>
  <si>
    <t>TRN-0121</t>
  </si>
  <si>
    <t>Ambulance</t>
  </si>
  <si>
    <t>https://www.the-numbers.com/movie/Ambulance-(2022)</t>
  </si>
  <si>
    <t>TRN-0122</t>
  </si>
  <si>
    <t>Sonic the Hedgehog 2</t>
  </si>
  <si>
    <t>https://www.the-numbers.com/movie/Sonic-the-Hedgehog-2-(2022)</t>
  </si>
  <si>
    <t>TRN-0123</t>
  </si>
  <si>
    <t>Father Stu</t>
  </si>
  <si>
    <t>https://www.the-numbers.com/movie/Father-Stu-(2022)</t>
  </si>
  <si>
    <t>TRN-0124</t>
  </si>
  <si>
    <t>Fantastic Beasts: The Secrets of Dumbledore</t>
  </si>
  <si>
    <t>https://www.the-numbers.com/movie/Fantastic-Beasts-The-Secrets-of-Dumbledore-(2021)</t>
  </si>
  <si>
    <t>TRN-0125</t>
  </si>
  <si>
    <t>The Bad Guys</t>
  </si>
  <si>
    <t>https://www.the-numbers.com/movie/Bad-Guys-The</t>
  </si>
  <si>
    <t>TRN-0126</t>
  </si>
  <si>
    <t>The Unbearable Weight of Massive Talent</t>
  </si>
  <si>
    <t>https://www.the-numbers.com/movie/Unbearable-Weight-of-Massive-Talent-The</t>
  </si>
  <si>
    <t>TRN-0127</t>
  </si>
  <si>
    <t>Men</t>
  </si>
  <si>
    <t>https://www.the-numbers.com/movie/Men-(2022-United-Kingdom)</t>
  </si>
  <si>
    <t>TRN-0128</t>
  </si>
  <si>
    <t>Top Gun: Maverick</t>
  </si>
  <si>
    <t>https://www.the-numbers.com/movie/Top-Gun-Maverick-(2022)</t>
  </si>
  <si>
    <t>TRN-0129</t>
  </si>
  <si>
    <t>Jurassic World: Dominion</t>
  </si>
  <si>
    <t>https://www.the-numbers.com/movie/Jurassic-World-Dominion-(2022)</t>
  </si>
  <si>
    <t>TRN-0130</t>
  </si>
  <si>
    <t>Lightyear</t>
  </si>
  <si>
    <t>https://www.the-numbers.com/movie/Lightyear-(2022)</t>
  </si>
  <si>
    <t>TRN-0131</t>
  </si>
  <si>
    <t>Elvis</t>
  </si>
  <si>
    <t>https://www.the-numbers.com/movie/Elvis-(2021)</t>
  </si>
  <si>
    <t>TRN-0132</t>
  </si>
  <si>
    <t>The Black Phone</t>
  </si>
  <si>
    <t>https://www.the-numbers.com/movie/Black-Phone-The-(2022)</t>
  </si>
  <si>
    <t>TRN-0133</t>
  </si>
  <si>
    <t>Minions: The Rise of Gru</t>
  </si>
  <si>
    <t>https://www.the-numbers.com/movie/Minions-The-Rise-of-Gru-(2021)</t>
  </si>
  <si>
    <t>TRN-0134</t>
  </si>
  <si>
    <t>Thor: Love and Thunder</t>
  </si>
  <si>
    <t>https://www.the-numbers.com/movie/Thor-Love-and-Thunder-(2022)</t>
  </si>
  <si>
    <t>TRN-0135</t>
  </si>
  <si>
    <t>Paws of Fury: The Legend of Hank</t>
  </si>
  <si>
    <t>https://www.the-numbers.com/movie/Paws-of-Fury-The-Legend-of-Hank-(2022)</t>
  </si>
  <si>
    <t>TRN-0136</t>
  </si>
  <si>
    <t>Where the Crawdads Sing</t>
  </si>
  <si>
    <t>https://www.the-numbers.com/movie/Where-the-Crawdads-Sing</t>
  </si>
  <si>
    <t>TRN-0137</t>
  </si>
  <si>
    <t>Nope</t>
  </si>
  <si>
    <t>https://www.the-numbers.com/movie/Nope-(2022)</t>
  </si>
  <si>
    <t>TRN-0138</t>
  </si>
  <si>
    <t>DC League of Super Pets</t>
  </si>
  <si>
    <t>https://www.the-numbers.com/movie/DC-League-of-Super-Pets-(2022)</t>
  </si>
  <si>
    <t>TRN-0140</t>
  </si>
  <si>
    <t>Easter Sunday</t>
  </si>
  <si>
    <t>https://www.the-numbers.com/movie/Easter-Sunday-(2022)</t>
  </si>
  <si>
    <t>TRN-0141</t>
  </si>
  <si>
    <t>The Invitation</t>
  </si>
  <si>
    <t>https://www.the-numbers.com/movie/Invitation-The-(2022)</t>
  </si>
  <si>
    <t>TRN-0142</t>
  </si>
  <si>
    <t>Three Thousand Years of Longing</t>
  </si>
  <si>
    <t>https://www.the-numbers.com/movie/Three-Thousand-Years-of-Longing-(2022)</t>
  </si>
  <si>
    <t>TRN-0143</t>
  </si>
  <si>
    <t>Barbarian</t>
  </si>
  <si>
    <t>https://www.the-numbers.com/movie/Barbarian-(2022)</t>
  </si>
  <si>
    <t>TRN-0144</t>
  </si>
  <si>
    <t>Don’t Worry, Darling</t>
  </si>
  <si>
    <t>https://www.the-numbers.com/movie/Dont-Worry-Darling-(2022)</t>
  </si>
  <si>
    <t>TRN-0145</t>
  </si>
  <si>
    <t>The Woman King</t>
  </si>
  <si>
    <t>https://www.the-numbers.com/movie/Woman-King-The-(2022)</t>
  </si>
  <si>
    <t>TRN-0146</t>
  </si>
  <si>
    <t>Bros</t>
  </si>
  <si>
    <t>https://www.the-numbers.com/movie/Bros-(2022)</t>
  </si>
  <si>
    <t>TRN-0147</t>
  </si>
  <si>
    <t>Smile</t>
  </si>
  <si>
    <t>https://www.the-numbers.com/movie/Smile-(2022)</t>
  </si>
  <si>
    <t>TRN-0148</t>
  </si>
  <si>
    <t>Terrifier 2</t>
  </si>
  <si>
    <t>Iconic/Cineverse</t>
  </si>
  <si>
    <t>https://www.the-numbers.com/movie/Terrifier-2-(2022)</t>
  </si>
  <si>
    <t>TRN-0149</t>
  </si>
  <si>
    <t>Amsterdam</t>
  </si>
  <si>
    <t>https://www.the-numbers.com/movie/Amsterdam-(2022)</t>
  </si>
  <si>
    <t>TRN-0150</t>
  </si>
  <si>
    <t>Lyle, Lyle, Crocodile</t>
  </si>
  <si>
    <t>https://www.the-numbers.com/movie/Lyle-Lyle-Crocodile-(2022)</t>
  </si>
  <si>
    <t>TRN-0151</t>
  </si>
  <si>
    <t>Black Adam</t>
  </si>
  <si>
    <t>https://www.the-numbers.com/movie/Black-Adam-(2022)</t>
  </si>
  <si>
    <t>TRN-0152</t>
  </si>
  <si>
    <t>Black Panther: Wakanda Forever</t>
  </si>
  <si>
    <t>https://www.the-numbers.com/movie/Black-Panther-Wakanda-Forever-(2022)</t>
  </si>
  <si>
    <t>TRN-0153</t>
  </si>
  <si>
    <t>Devotion</t>
  </si>
  <si>
    <t>https://www.the-numbers.com/movie/Devotion-(2022)</t>
  </si>
  <si>
    <t>TRN-0154</t>
  </si>
  <si>
    <t>Strange World</t>
  </si>
  <si>
    <t>https://www.the-numbers.com/movie/Strange-World-(2022)</t>
  </si>
  <si>
    <t>TRN-0156</t>
  </si>
  <si>
    <t>Violent Night</t>
  </si>
  <si>
    <t>https://www.the-numbers.com/movie/Violent-Night-(2022)</t>
  </si>
  <si>
    <t>TRN-0157</t>
  </si>
  <si>
    <t>Avatar: The Way of Water</t>
  </si>
  <si>
    <t>https://www.the-numbers.com/movie/Avatar-The-Way-of-Water-(2022)</t>
  </si>
  <si>
    <t>TRN-0158</t>
  </si>
  <si>
    <t>Puss in Boots: The Last Wish</t>
  </si>
  <si>
    <t>https://www.the-numbers.com/movie/Puss-in-Boots-The-Last-Wish-(2022)</t>
  </si>
  <si>
    <t>TRN-0159</t>
  </si>
  <si>
    <t>Babylon</t>
  </si>
  <si>
    <t>https://www.the-numbers.com/movie/Babylon-(2022)</t>
  </si>
  <si>
    <t>TRN-0160</t>
  </si>
  <si>
    <t>Whitney Houston I Wanna Dance With Somebody</t>
  </si>
  <si>
    <t>https://www.the-numbers.com/movie/Whitney-Houston-I-Wanna-Dance-With-Somebody-(2022)</t>
  </si>
  <si>
    <t>TRN-0161</t>
  </si>
  <si>
    <t>M3GAN</t>
  </si>
  <si>
    <t>https://www.the-numbers.com/movie/M3GAN</t>
  </si>
  <si>
    <t>TRN-0162</t>
  </si>
  <si>
    <t>Plane</t>
  </si>
  <si>
    <t>https://www.the-numbers.com/movie/Plane-(2023)</t>
  </si>
  <si>
    <t>TRN-0163</t>
  </si>
  <si>
    <t>Skinamarink</t>
  </si>
  <si>
    <t>IFC Midnight</t>
  </si>
  <si>
    <t>Canada</t>
  </si>
  <si>
    <t>https://www.the-numbers.com/movie/Skinamarink-(2023-Canada)</t>
  </si>
  <si>
    <t>TRN-0164</t>
  </si>
  <si>
    <t>Missing</t>
  </si>
  <si>
    <t>https://www.the-numbers.com/movie/Missing-(2023)</t>
  </si>
  <si>
    <t>TRN-0165</t>
  </si>
  <si>
    <t>80 for Brady</t>
  </si>
  <si>
    <t>https://www.the-numbers.com/movie/80-for-Brady-(2023)</t>
  </si>
  <si>
    <t>TRN-0166</t>
  </si>
  <si>
    <t>Knock at the Cabin</t>
  </si>
  <si>
    <t>https://www.the-numbers.com/movie/Knock-at-the-Cabin-(2023)</t>
  </si>
  <si>
    <t>TRN-0167</t>
  </si>
  <si>
    <t>Magic Mike’s Last Dance</t>
  </si>
  <si>
    <t>https://www.the-numbers.com/movie/Magic-Mikes-Last-Dance-(2023)</t>
  </si>
  <si>
    <t>TRN-0168</t>
  </si>
  <si>
    <t>Ant-Man and the Wasp: Quantumania</t>
  </si>
  <si>
    <t>https://www.the-numbers.com/movie/Ant-Man-and-the-Wasp-Quantumania-(2023)</t>
  </si>
  <si>
    <t>TRN-0170</t>
  </si>
  <si>
    <t>Jesus Revolution</t>
  </si>
  <si>
    <t>https://www.the-numbers.com/movie/Jesus-Revolution-(2022)</t>
  </si>
  <si>
    <t>TRN-0171</t>
  </si>
  <si>
    <t>Creed III</t>
  </si>
  <si>
    <t>MGM</t>
  </si>
  <si>
    <t>https://www.the-numbers.com/movie/Creed-III-(2023)</t>
  </si>
  <si>
    <t>TRN-0172</t>
  </si>
  <si>
    <t>65</t>
  </si>
  <si>
    <t>https://www.the-numbers.com/movie/65-(2022)</t>
  </si>
  <si>
    <t>TRN-0174</t>
  </si>
  <si>
    <t>Shazam! Fury of the Gods</t>
  </si>
  <si>
    <t>https://www.the-numbers.com/movie/Shazam-Fury-of-the-Gods-(2022)</t>
  </si>
  <si>
    <t>TRN-0175</t>
  </si>
  <si>
    <t>John Wick: Chapter 4</t>
  </si>
  <si>
    <t>https://www.the-numbers.com/movie/John-Wick-Chapter-4-(2023)</t>
  </si>
  <si>
    <t>TRN-0176</t>
  </si>
  <si>
    <t>Dungeons &amp; Dragons: Honor Among Thieves</t>
  </si>
  <si>
    <t>https://www.the-numbers.com/movie/Dungeons-and-Dragons-Honor-Among-Thieves-(2023)</t>
  </si>
  <si>
    <t>TRN-0177</t>
  </si>
  <si>
    <t>His Only Son</t>
  </si>
  <si>
    <t>Angel Studios</t>
  </si>
  <si>
    <t>https://www.the-numbers.com/movie/His-Only-Son-(2023)</t>
  </si>
  <si>
    <t>TRN-0178</t>
  </si>
  <si>
    <t>The Super Mario Bros. Movie</t>
  </si>
  <si>
    <t>https://www.the-numbers.com/movie/Super-Mario-Bros-Movie-The-(2022)</t>
  </si>
  <si>
    <t>TRN-0179</t>
  </si>
  <si>
    <t>Mafia Mamma</t>
  </si>
  <si>
    <t>United Kingdom, United States, Italy</t>
  </si>
  <si>
    <t>https://www.the-numbers.com/movie/Mafia-Mamma-(2023)</t>
  </si>
  <si>
    <t>TRN-0180</t>
  </si>
  <si>
    <t>Renfield</t>
  </si>
  <si>
    <t>https://www.the-numbers.com/movie/Renfield</t>
  </si>
  <si>
    <t>TRN-0181</t>
  </si>
  <si>
    <t>The Pope’s Exorcist</t>
  </si>
  <si>
    <t>United States, United Kingdom, Spain</t>
  </si>
  <si>
    <t>https://www.the-numbers.com/movie/Popes-Exorcist-The-(2023)</t>
  </si>
  <si>
    <t>TRN-0182</t>
  </si>
  <si>
    <t>Evil Dead Rise</t>
  </si>
  <si>
    <t>https://www.the-numbers.com/movie/Evil-Dead-Rise-(2023)</t>
  </si>
  <si>
    <t>TRN-0184</t>
  </si>
  <si>
    <t>Big George Foreman: The Miraculous Story of the Once and Future Heavyweight Champion of the World</t>
  </si>
  <si>
    <t>https://www.the-numbers.com/movie/Big-George-Foreman-The-Miraculous-Story-of-the-Once-and-Future-Heavyweight-Champion-of-the-World-(2023)</t>
  </si>
  <si>
    <t>TRN-0185</t>
  </si>
  <si>
    <t>Guardians of the Galaxy Vol 3</t>
  </si>
  <si>
    <t>https://www.the-numbers.com/movie/Guardians-of-the-Galaxy-Vol-3-(2023)</t>
  </si>
  <si>
    <t>TRN-0186</t>
  </si>
  <si>
    <t>About My Father</t>
  </si>
  <si>
    <t>https://www.the-numbers.com/movie/About-My-Father-(2023)</t>
  </si>
  <si>
    <t>TRN-0187</t>
  </si>
  <si>
    <t>The Little Mermaid</t>
  </si>
  <si>
    <t>https://www.the-numbers.com/movie/Little-Mermaid-The-(2023)</t>
  </si>
  <si>
    <t>TRN-0188</t>
  </si>
  <si>
    <t>The Machine</t>
  </si>
  <si>
    <t>https://www.the-numbers.com/movie/Machine-The-(2023)</t>
  </si>
  <si>
    <t>TRN-0189</t>
  </si>
  <si>
    <t>Spider-Man: Across the Spider-Verse</t>
  </si>
  <si>
    <t>https://www.the-numbers.com/movie/Spider-Man-Across-the-Spider-Verse-(2023)</t>
  </si>
  <si>
    <t>TRN-0190</t>
  </si>
  <si>
    <t>The Boogeyman</t>
  </si>
  <si>
    <t>https://www.the-numbers.com/movie/Boogeyman-The-(2023)</t>
  </si>
  <si>
    <t>TRN-0191</t>
  </si>
  <si>
    <t>Transformers: Rise of the Beasts</t>
  </si>
  <si>
    <t>https://www.the-numbers.com/movie/Transformers-Rise-of-the-Beasts-(2023)</t>
  </si>
  <si>
    <t>TRN-0192</t>
  </si>
  <si>
    <t>Elemental</t>
  </si>
  <si>
    <t>https://www.the-numbers.com/movie/Elemental-(2023)</t>
  </si>
  <si>
    <t>TRN-0193</t>
  </si>
  <si>
    <t>The Blackening</t>
  </si>
  <si>
    <t>https://www.the-numbers.com/movie/Blackening-The-(2023)</t>
  </si>
  <si>
    <t>TRN-0194</t>
  </si>
  <si>
    <t>The Flash</t>
  </si>
  <si>
    <t>https://www.the-numbers.com/movie/Flash-The</t>
  </si>
  <si>
    <t>TRN-0196</t>
  </si>
  <si>
    <t>Ruby Gillman, Teenage Kraken</t>
  </si>
  <si>
    <t>https://www.the-numbers.com/movie/Ruby-Gillman-Teenage-Kraken-(2023)</t>
  </si>
  <si>
    <t>TRN-0197</t>
  </si>
  <si>
    <t>Insidious: The Red Door</t>
  </si>
  <si>
    <t>Canada, United States</t>
  </si>
  <si>
    <t>https://www.the-numbers.com/movie/Insidious-The-Red-Door-(2023)</t>
  </si>
  <si>
    <t>TRN-0198</t>
  </si>
  <si>
    <t>Mission: Impossible Dead Reckoning Part One</t>
  </si>
  <si>
    <t>https://www.the-numbers.com/movie/Mission-Impossible-Dead-Reckoning-Part-One-(2023)</t>
  </si>
  <si>
    <t>TRN-0199</t>
  </si>
  <si>
    <t>Barbie</t>
  </si>
  <si>
    <t>https://www.the-numbers.com/movie/Barbie-(2023)</t>
  </si>
  <si>
    <t>TRN-0200</t>
  </si>
  <si>
    <t>Oppenheimer</t>
  </si>
  <si>
    <t>United States, United Kingdom</t>
  </si>
  <si>
    <t>https://www.the-numbers.com/movie/Oppenheimer-(2023)</t>
  </si>
  <si>
    <t>TRN-0201</t>
  </si>
  <si>
    <t>Haunted Mansion</t>
  </si>
  <si>
    <t>https://www.the-numbers.com/movie/Haunted-Mansion-(2023)</t>
  </si>
  <si>
    <t>TRN-0203</t>
  </si>
  <si>
    <t>Teenage Mutant Ninja Turtles: Mutant Mayhem</t>
  </si>
  <si>
    <t>https://www.the-numbers.com/movie/Teenage-Mutant-Ninja-Turtles-Mutant-Mayhem-(2023)</t>
  </si>
  <si>
    <t>TRN-0204</t>
  </si>
  <si>
    <t>The Last Voyage of the Demeter</t>
  </si>
  <si>
    <t>United States, United Kingdom, Germany, Italy, Malta</t>
  </si>
  <si>
    <t>https://www.the-numbers.com/movie/Last-Voyage-of-the-Demeter-The</t>
  </si>
  <si>
    <t>TRN-0205</t>
  </si>
  <si>
    <t>Blue Beetle</t>
  </si>
  <si>
    <t>https://www.the-numbers.com/movie/Blue-Beetle-(2023)</t>
  </si>
  <si>
    <t>TRN-0206</t>
  </si>
  <si>
    <t>Strays</t>
  </si>
  <si>
    <t>https://www.the-numbers.com/movie/Strays-(2023)</t>
  </si>
  <si>
    <t>TRN-0207</t>
  </si>
  <si>
    <t>The Equalizer 3</t>
  </si>
  <si>
    <t>https://www.the-numbers.com/movie/Equalizer-3-The-(2023)</t>
  </si>
  <si>
    <t>TRN-0208</t>
  </si>
  <si>
    <t>The Nun II</t>
  </si>
  <si>
    <t>https://www.the-numbers.com/movie/Nun-II-The-(2023)</t>
  </si>
  <si>
    <t>TRN-0209</t>
  </si>
  <si>
    <t>A Haunting in Venice</t>
  </si>
  <si>
    <t>https://www.the-numbers.com/movie/Haunting-in-Venice-A-(2023)</t>
  </si>
  <si>
    <t>TRN-0210</t>
  </si>
  <si>
    <t>Expend4bles</t>
  </si>
  <si>
    <t>https://www.the-numbers.com/movie/Expend4bles-(2023)</t>
  </si>
  <si>
    <t>TRN-0211</t>
  </si>
  <si>
    <t>PAW Patrol: The Mighty Movie</t>
  </si>
  <si>
    <t>https://www.the-numbers.com/movie/Paw-Patrol-The-Mighty-Movie-(2023)</t>
  </si>
  <si>
    <t>TRN-0212</t>
  </si>
  <si>
    <t>Saw X</t>
  </si>
  <si>
    <t>https://www.the-numbers.com/movie/Saw-X-(2023)</t>
  </si>
  <si>
    <t>TRN-0213</t>
  </si>
  <si>
    <t>The Creator</t>
  </si>
  <si>
    <t>https://www.the-numbers.com/movie/Creator-The-(2023)</t>
  </si>
  <si>
    <t>TRN-0214</t>
  </si>
  <si>
    <t>The Exorcist: Believer</t>
  </si>
  <si>
    <t>https://www.the-numbers.com/movie/Exorcist-Believer-The-(2023)</t>
  </si>
  <si>
    <t>TRN-0215</t>
  </si>
  <si>
    <t>TAYLOR SWIFT | THE ERAS TOUR</t>
  </si>
  <si>
    <t>Concert/Performance</t>
  </si>
  <si>
    <t>AMC Theatres Distribution</t>
  </si>
  <si>
    <t>https://www.the-numbers.com/movie/Taylor-Swift-The-Eras-Tour-(2023)</t>
  </si>
  <si>
    <t>TRN-0216</t>
  </si>
  <si>
    <t>Five Nights at Freddy’s</t>
  </si>
  <si>
    <t>https://www.the-numbers.com/movie/Five-Nights-at-Freddys-(2023)</t>
  </si>
  <si>
    <t>TRN-0217</t>
  </si>
  <si>
    <t>Journey to Bethlehem</t>
  </si>
  <si>
    <t>https://www.the-numbers.com/movie/Journey-to-Bethlehem-(2023)</t>
  </si>
  <si>
    <t>TRN-0218</t>
  </si>
  <si>
    <t>Thanksgiving</t>
  </si>
  <si>
    <t>https://www.the-numbers.com/movie/Thanksgiving-(2023)</t>
  </si>
  <si>
    <t>TRN-0219</t>
  </si>
  <si>
    <t>The Hunger Games: The Ballad of Songbirds &amp; Snakes</t>
  </si>
  <si>
    <t>https://www.the-numbers.com/movie/Hunger-Games-The-The-Ballad-of-Songbirds-and-Snakes-(2023)</t>
  </si>
  <si>
    <t>TRN-0220</t>
  </si>
  <si>
    <t>Trolls Band Together</t>
  </si>
  <si>
    <t>https://www.the-numbers.com/movie/Trolls-Band-Together-(2023)</t>
  </si>
  <si>
    <t>TRN-0221</t>
  </si>
  <si>
    <t>Napoleon</t>
  </si>
  <si>
    <t>https://www.the-numbers.com/movie/Napoleon-(2023)</t>
  </si>
  <si>
    <t>TRN-0222</t>
  </si>
  <si>
    <t>Wish</t>
  </si>
  <si>
    <t>https://www.the-numbers.com/movie/Wish-(2023)</t>
  </si>
  <si>
    <t>TRN-0223</t>
  </si>
  <si>
    <t>Godzilla Minus One</t>
  </si>
  <si>
    <t>Toho International</t>
  </si>
  <si>
    <t>https://www.the-numbers.com/movie/Godzilla-Minus-One-(2023-Japan)</t>
  </si>
  <si>
    <t>TRN-0224</t>
  </si>
  <si>
    <t>Wonka</t>
  </si>
  <si>
    <t>https://www.the-numbers.com/movie/Wonka-(2023)</t>
  </si>
  <si>
    <t>TRN-0225</t>
  </si>
  <si>
    <t>Anyone But You</t>
  </si>
  <si>
    <t>https://www.the-numbers.com/movie/Anyone-But-You-(2023)</t>
  </si>
  <si>
    <t>TRN-0226</t>
  </si>
  <si>
    <t>Aquaman and the Lost Kingdom</t>
  </si>
  <si>
    <t>https://www.the-numbers.com/movie/Aquaman-and-the-Lost-Kingdom-(2023)</t>
  </si>
  <si>
    <t>TRN-0227</t>
  </si>
  <si>
    <t>Migration</t>
  </si>
  <si>
    <t>https://www.the-numbers.com/movie/Migration-(2023)</t>
  </si>
  <si>
    <t>TRN-0228</t>
  </si>
  <si>
    <t>The Iron Claw</t>
  </si>
  <si>
    <t>https://www.the-numbers.com/movie/Iron-Claw-The-(2023)</t>
  </si>
  <si>
    <t>TRN-0229</t>
  </si>
  <si>
    <t>Ferrari</t>
  </si>
  <si>
    <t>https://www.the-numbers.com/movie/Ferrari-(2023)</t>
  </si>
  <si>
    <t>TRN-0230</t>
  </si>
  <si>
    <t>The Boys in the Boat</t>
  </si>
  <si>
    <t>Amazon MGM Studios</t>
  </si>
  <si>
    <t>https://www.the-numbers.com/movie/Boys-in-the-Boat-The-(2023)</t>
  </si>
  <si>
    <t>TRN-0231</t>
  </si>
  <si>
    <t>Night Swim</t>
  </si>
  <si>
    <t>https://www.the-numbers.com/movie/Night-Swim-(2024)</t>
  </si>
  <si>
    <t>TRN-0232</t>
  </si>
  <si>
    <t>Mean Girls</t>
  </si>
  <si>
    <t>https://www.the-numbers.com/movie/Mean-Girls-(2024)</t>
  </si>
  <si>
    <t>TRN-0234</t>
  </si>
  <si>
    <t>Argylle</t>
  </si>
  <si>
    <t>https://www.the-numbers.com/movie/Argylle-(2024-United-Kingdom)</t>
  </si>
  <si>
    <t>TRN-0235</t>
  </si>
  <si>
    <t>Bob Marley: One Love</t>
  </si>
  <si>
    <t>https://www.the-numbers.com/movie/Bob-Marley-One-Love-(2024)</t>
  </si>
  <si>
    <t>TRN-0236</t>
  </si>
  <si>
    <t>Madame Web</t>
  </si>
  <si>
    <t>https://www.the-numbers.com/movie/Madame-Web-(2024)</t>
  </si>
  <si>
    <t>TRN-0237</t>
  </si>
  <si>
    <t>Ordinary Angels</t>
  </si>
  <si>
    <t>https://www.the-numbers.com/movie/Ordinary-Angels-(2024)</t>
  </si>
  <si>
    <t>TRN-0238</t>
  </si>
  <si>
    <t>Dune: Part Two</t>
  </si>
  <si>
    <t>https://www.the-numbers.com/movie/Dune-Part-Two-(2024)</t>
  </si>
  <si>
    <t>TRN-0239</t>
  </si>
  <si>
    <t>Cabrini</t>
  </si>
  <si>
    <t>https://www.the-numbers.com/movie/Cabrini-(2024)</t>
  </si>
  <si>
    <t>TRN-0240</t>
  </si>
  <si>
    <t>Imaginary</t>
  </si>
  <si>
    <t>https://www.the-numbers.com/movie/Imaginary-(2024)</t>
  </si>
  <si>
    <t>TRN-0241</t>
  </si>
  <si>
    <t>Kung Fu Panda 4</t>
  </si>
  <si>
    <t>https://www.the-numbers.com/movie/Kung-Fu-Panda-4-(2024)</t>
  </si>
  <si>
    <t>TRN-0242</t>
  </si>
  <si>
    <t>Arthur the King</t>
  </si>
  <si>
    <t>https://www.the-numbers.com/movie/Arthur-the-King-(2024)</t>
  </si>
  <si>
    <t>TRN-0243</t>
  </si>
  <si>
    <t>Godzilla x Kong: The New Empire</t>
  </si>
  <si>
    <t>https://www.the-numbers.com/movie/Godzilla-x-Kong-The-New-Empire-(2024)</t>
  </si>
  <si>
    <t>TRN-0244</t>
  </si>
  <si>
    <t>Monkey Man</t>
  </si>
  <si>
    <t>https://www.the-numbers.com/movie/Monkey-Man-(2024)</t>
  </si>
  <si>
    <t>TRN-0245</t>
  </si>
  <si>
    <t>The First Omen</t>
  </si>
  <si>
    <t>https://www.the-numbers.com/movie/First-Omen-The-(2024)</t>
  </si>
  <si>
    <t>TRN-0246</t>
  </si>
  <si>
    <t>Civil War</t>
  </si>
  <si>
    <t>https://www.the-numbers.com/movie/Civil-War-(2024)</t>
  </si>
  <si>
    <t>TRN-0247</t>
  </si>
  <si>
    <t>Abigail</t>
  </si>
  <si>
    <t>https://www.the-numbers.com/movie/Abigail-(2024)</t>
  </si>
  <si>
    <t>TRN-0248</t>
  </si>
  <si>
    <t>The Ministry of Ungentlemanly Warfare</t>
  </si>
  <si>
    <t>https://www.the-numbers.com/movie/Ministry-of-Ungentlemanly-Warfare-The-(2024)</t>
  </si>
  <si>
    <t>TRN-0249</t>
  </si>
  <si>
    <t>Unsung Hero</t>
  </si>
  <si>
    <t>https://www.the-numbers.com/movie/Unsung-Hero-(2024)</t>
  </si>
  <si>
    <t>TRN-0250</t>
  </si>
  <si>
    <t>Tarot</t>
  </si>
  <si>
    <t>https://www.the-numbers.com/movie/Tarot-(2024)</t>
  </si>
  <si>
    <t>TRN-0251</t>
  </si>
  <si>
    <t>The Fall Guy</t>
  </si>
  <si>
    <t>https://www.the-numbers.com/movie/Fall-Guy-The-(2024)</t>
  </si>
  <si>
    <t>TRN-0252</t>
  </si>
  <si>
    <t>Kingdom of the Planet of the Apes</t>
  </si>
  <si>
    <t>https://www.the-numbers.com/movie/Kingdom-of-the-Planet-of-the-Apes-(2024)</t>
  </si>
  <si>
    <t>TRN-0253</t>
  </si>
  <si>
    <t>IF</t>
  </si>
  <si>
    <t>https://www.the-numbers.com/movie/IF-(2024)</t>
  </si>
  <si>
    <t>TRN-0254</t>
  </si>
  <si>
    <t>The Strangers: Chapter 1</t>
  </si>
  <si>
    <t>https://www.the-numbers.com/movie/Strangers-The-Chapter-1-(2024)</t>
  </si>
  <si>
    <t>TRN-0255</t>
  </si>
  <si>
    <t>Furiosa: A Mad Max Saga</t>
  </si>
  <si>
    <t>Australia, United States</t>
  </si>
  <si>
    <t>https://www.the-numbers.com/movie/Furiosa-A-Mad-Max-Saga-(2024)</t>
  </si>
  <si>
    <t>TRN-0256</t>
  </si>
  <si>
    <t>The Garfield Movie</t>
  </si>
  <si>
    <t>https://www.the-numbers.com/movie/Garfield-Movie-The-(2024)</t>
  </si>
  <si>
    <t>TRN-0257</t>
  </si>
  <si>
    <t>Bad Boys: Ride or Die</t>
  </si>
  <si>
    <t>https://www.the-numbers.com/movie/Bad-Boys-Ride-or-Die-(2024)</t>
  </si>
  <si>
    <t>TRN-0258</t>
  </si>
  <si>
    <t>The Watchers</t>
  </si>
  <si>
    <t>https://www.the-numbers.com/movie/Watchers-The-(2024)</t>
  </si>
  <si>
    <t>TRN-0259</t>
  </si>
  <si>
    <t>Inside Out 2</t>
  </si>
  <si>
    <t>https://www.the-numbers.com/movie/Inside-Out-2-(2024)</t>
  </si>
  <si>
    <t>TRN-0260</t>
  </si>
  <si>
    <t>A Quiet Place: Day One</t>
  </si>
  <si>
    <t>https://www.the-numbers.com/movie/Quiet-Place-A-Day-One-(2024)</t>
  </si>
  <si>
    <t>TRN-0261</t>
  </si>
  <si>
    <t>Horizon: An American Saga Chapter 1</t>
  </si>
  <si>
    <t>Western</t>
  </si>
  <si>
    <t>https://www.the-numbers.com/movie/Horizon-An-American-Saga-Chapter-1-(2024)</t>
  </si>
  <si>
    <t>TRN-0262</t>
  </si>
  <si>
    <t>Despicable Me 4</t>
  </si>
  <si>
    <t>https://www.the-numbers.com/movie/Despicable-Me-4-(2024)</t>
  </si>
  <si>
    <t>TRN-0263</t>
  </si>
  <si>
    <t>Sound of Hope: The Story of Possum Trot</t>
  </si>
  <si>
    <t>https://www.the-numbers.com/movie/Sound-of-Hope-The-Story-of-Possum-Trot-(2024)</t>
  </si>
  <si>
    <t>TRN-0264</t>
  </si>
  <si>
    <t>Fly Me to the Moon</t>
  </si>
  <si>
    <t>https://www.the-numbers.com/movie/Fly-Me-to-the-Moon-(2024)</t>
  </si>
  <si>
    <t>TRN-0265</t>
  </si>
  <si>
    <t>Longlegs</t>
  </si>
  <si>
    <t>https://www.the-numbers.com/movie/Longlegs-(2024)</t>
  </si>
  <si>
    <t>TRN-0267</t>
  </si>
  <si>
    <t>Deadpool &amp; Wolverine</t>
  </si>
  <si>
    <t>https://www.the-numbers.com/movie/Deadpool-and-Wolverine-(2024)</t>
  </si>
  <si>
    <t>TRN-0268</t>
  </si>
  <si>
    <t>Trap</t>
  </si>
  <si>
    <t>United States, United Kingdom, Yemen</t>
  </si>
  <si>
    <t>https://www.the-numbers.com/movie/Trap-(2024)</t>
  </si>
  <si>
    <t>TRN-0269</t>
  </si>
  <si>
    <t>Borderlands</t>
  </si>
  <si>
    <t>https://www.the-numbers.com/movie/Borderlands-(2024)</t>
  </si>
  <si>
    <t>TRN-0270</t>
  </si>
  <si>
    <t>Alien: Romulus</t>
  </si>
  <si>
    <t>https://www.the-numbers.com/movie/Alien-Romulus-(2024)</t>
  </si>
  <si>
    <t>TRN-0272</t>
  </si>
  <si>
    <t>Afraid</t>
  </si>
  <si>
    <t>https://www.the-numbers.com/movie/Afraid-(2024)</t>
  </si>
  <si>
    <t>TRN-0273</t>
  </si>
  <si>
    <t>Reagan</t>
  </si>
  <si>
    <t>ShowBiz Direct</t>
  </si>
  <si>
    <t>https://www.the-numbers.com/movie/Reagan-(2024)</t>
  </si>
  <si>
    <t>TRN-0274</t>
  </si>
  <si>
    <t>Beetlejuice Beetlejuice</t>
  </si>
  <si>
    <t>https://www.the-numbers.com/movie/Beetlejuice-Beetlejuice-(2024)</t>
  </si>
  <si>
    <t>TRN-0275</t>
  </si>
  <si>
    <t>Am I Racist?</t>
  </si>
  <si>
    <t>Documentary</t>
  </si>
  <si>
    <t>https://www.the-numbers.com/movie/Am-I-Racist-(2024)</t>
  </si>
  <si>
    <t>TRN-0276</t>
  </si>
  <si>
    <t>Speak No Evil</t>
  </si>
  <si>
    <t>https://www.the-numbers.com/movie/Speak-No-Evil-(2024)</t>
  </si>
  <si>
    <t>TRN-0277</t>
  </si>
  <si>
    <t>The Killer’s Game</t>
  </si>
  <si>
    <t>https://www.the-numbers.com/movie/Killers-Game-The-(2024)</t>
  </si>
  <si>
    <t>TRN-0278</t>
  </si>
  <si>
    <t>Never Let Go</t>
  </si>
  <si>
    <t>https://www.the-numbers.com/movie/Never-Let-Go-(2024)</t>
  </si>
  <si>
    <t>TRN-0279</t>
  </si>
  <si>
    <t>The Substance</t>
  </si>
  <si>
    <t>MUBI</t>
  </si>
  <si>
    <t>https://www.the-numbers.com/movie/Substance-The-(2024)</t>
  </si>
  <si>
    <t>TRN-0280</t>
  </si>
  <si>
    <t>Transformers One</t>
  </si>
  <si>
    <t>https://www.the-numbers.com/movie/Transformers-One-(2024)</t>
  </si>
  <si>
    <t>TRN-0281</t>
  </si>
  <si>
    <t>Devara Part 1</t>
  </si>
  <si>
    <t>Prathyangira Cinemas</t>
  </si>
  <si>
    <t>India</t>
  </si>
  <si>
    <t>https://www.the-numbers.com/movie/Devara-Part-1-(2024-India)</t>
  </si>
  <si>
    <t>TRN-0282</t>
  </si>
  <si>
    <t>The Wild Robot</t>
  </si>
  <si>
    <t>https://www.the-numbers.com/movie/Wild-Robot-The-(2024)</t>
  </si>
  <si>
    <t>TRN-0283</t>
  </si>
  <si>
    <t>Joker: Folie à Deux</t>
  </si>
  <si>
    <t>https://www.the-numbers.com/movie/Joker-Folie-a-Deux-(2024)</t>
  </si>
  <si>
    <t>TRN-0284</t>
  </si>
  <si>
    <t>White Bird: A Wonder Story</t>
  </si>
  <si>
    <t>United States, Germany</t>
  </si>
  <si>
    <t>https://www.the-numbers.com/movie/White-Bird-(2024)</t>
  </si>
  <si>
    <t>TRN-0285</t>
  </si>
  <si>
    <t>Terrifier 3</t>
  </si>
  <si>
    <t>https://www.the-numbers.com/movie/Terrifier-3-(2024)</t>
  </si>
  <si>
    <t>TRN-0286</t>
  </si>
  <si>
    <t>Conclave</t>
  </si>
  <si>
    <t>https://www.the-numbers.com/movie/Conclave-(2024)</t>
  </si>
  <si>
    <t>TRN-0287</t>
  </si>
  <si>
    <t>Here</t>
  </si>
  <si>
    <t>https://www.the-numbers.com/movie/Here-(2024)</t>
  </si>
  <si>
    <t>TRN-0288</t>
  </si>
  <si>
    <t>The Best Christmas Pageant Ever</t>
  </si>
  <si>
    <t>https://www.the-numbers.com/movie/Best-Christmas-Pageant-Ever-The-(2024-Canada)</t>
  </si>
  <si>
    <t>TRN-0290</t>
  </si>
  <si>
    <t>Gladiator II</t>
  </si>
  <si>
    <t>https://www.the-numbers.com/movie/Gladiator-II-(2024)</t>
  </si>
  <si>
    <t>TRN-0291</t>
  </si>
  <si>
    <t>Wicked</t>
  </si>
  <si>
    <t>https://www.the-numbers.com/movie/Wicked-(2024)</t>
  </si>
  <si>
    <t>TRN-0292</t>
  </si>
  <si>
    <t>Kraven the Hunter</t>
  </si>
  <si>
    <t>https://www.the-numbers.com/movie/Kraven-the-Hunter-(2024)</t>
  </si>
  <si>
    <t>TRN-0293</t>
  </si>
  <si>
    <t>The Lord of the Rings: The War of the Rohirrim</t>
  </si>
  <si>
    <t>https://www.the-numbers.com/movie/Lord-of-the-Rings-The-The-War-of-the-Rohirrim-(2024)</t>
  </si>
  <si>
    <t>TRN-0294</t>
  </si>
  <si>
    <t>Mufasa: The Lion King</t>
  </si>
  <si>
    <t>https://www.the-numbers.com/movie/Mufasa-The-Lion-King-(2024)</t>
  </si>
  <si>
    <t>TRN-0295</t>
  </si>
  <si>
    <t>Sonic the Hedgehog 3</t>
  </si>
  <si>
    <t>https://www.the-numbers.com/movie/Sonic-the-Hedgehog-3-(2024)</t>
  </si>
  <si>
    <t>TRN-0297</t>
  </si>
  <si>
    <t>Babygirl</t>
  </si>
  <si>
    <t>https://www.the-numbers.com/movie/Babygirl-(2024)</t>
  </si>
  <si>
    <t>TRN-0298</t>
  </si>
  <si>
    <t>Nosferatu</t>
  </si>
  <si>
    <t>United States, Czech Republic</t>
  </si>
  <si>
    <t>https://www.the-numbers.com/movie/Nosferatu-(2024)</t>
  </si>
  <si>
    <t>TRN-0299</t>
  </si>
  <si>
    <t>Den of Thieves 2: Pantera</t>
  </si>
  <si>
    <t>https://www.the-numbers.com/movie/Den-of-Thieves-2-Pantera-(2025)</t>
  </si>
  <si>
    <t>TRN-0300</t>
  </si>
  <si>
    <t>One of Them Days</t>
  </si>
  <si>
    <t>https://www.the-numbers.com/movie/One-of-Them-Days-(2025)</t>
  </si>
  <si>
    <t>TRN-0301</t>
  </si>
  <si>
    <t>Wolf Man</t>
  </si>
  <si>
    <t>https://www.the-numbers.com/movie/Wolf-Man-(2025)</t>
  </si>
  <si>
    <t>TRN-0302</t>
  </si>
  <si>
    <t>Flight Risk</t>
  </si>
  <si>
    <t>https://www.the-numbers.com/movie/Flight-Risk-(2025)</t>
  </si>
  <si>
    <t>TRN-0303</t>
  </si>
  <si>
    <t>Presence</t>
  </si>
  <si>
    <t>https://www.the-numbers.com/movie/Presence-(2025)</t>
  </si>
  <si>
    <t>TRN-0304</t>
  </si>
  <si>
    <t>Companion</t>
  </si>
  <si>
    <t>https://www.the-numbers.com/movie/Companion-(2025)</t>
  </si>
  <si>
    <t>TRN-0305</t>
  </si>
  <si>
    <t>Dog Man</t>
  </si>
  <si>
    <t>https://www.the-numbers.com/movie/Dog-Man-(2025)</t>
  </si>
  <si>
    <t>TRN-0306</t>
  </si>
  <si>
    <t>Heart Eyes</t>
  </si>
  <si>
    <t>New Zealand</t>
  </si>
  <si>
    <t>https://www.the-numbers.com/movie/Heart-Eyes-(2025-New-Zealand)</t>
  </si>
  <si>
    <t>TRN-0307</t>
  </si>
  <si>
    <t>Captain America: Brave New World</t>
  </si>
  <si>
    <t>https://www.the-numbers.com/movie/Captain-America-Brave-New-World-(2025)</t>
  </si>
  <si>
    <t>TRN-0308</t>
  </si>
  <si>
    <t>Ne Zha 2</t>
  </si>
  <si>
    <t>CMC Pictures</t>
  </si>
  <si>
    <t>China</t>
  </si>
  <si>
    <t>https://www.the-numbers.com/movie/Ne-Zha-2-(2025-China)</t>
  </si>
  <si>
    <t>TRN-0309</t>
  </si>
  <si>
    <t>Paddington in Peru</t>
  </si>
  <si>
    <t>United Kingdom, United States, France, Canada</t>
  </si>
  <si>
    <t>https://www.the-numbers.com/movie/Paddington-in-Peru-(2024-United-Kingdom)</t>
  </si>
  <si>
    <t>TRN-0310</t>
  </si>
  <si>
    <t>Last Breath</t>
  </si>
  <si>
    <t>https://www.the-numbers.com/movie/Last-Breath-(2025-United-Kingdom)</t>
  </si>
  <si>
    <t>TRN-0311</t>
  </si>
  <si>
    <t>Mickey 17</t>
  </si>
  <si>
    <t>https://www.the-numbers.com/movie/Mickey-17-(2025)</t>
  </si>
  <si>
    <t>TRN-0312</t>
  </si>
  <si>
    <t>Black Bag</t>
  </si>
  <si>
    <t>https://www.the-numbers.com/movie/Black-Bag-(2025)</t>
  </si>
  <si>
    <t>TRN-0314</t>
  </si>
  <si>
    <t>Opus</t>
  </si>
  <si>
    <t>https://www.the-numbers.com/movie/Opus-(2025)</t>
  </si>
  <si>
    <t>TRN-0315</t>
  </si>
  <si>
    <t>The Day the Earth Blew Up: A Looney Tunes Movie</t>
  </si>
  <si>
    <t>Ketchup Entertainment</t>
  </si>
  <si>
    <t>https://www.the-numbers.com/movie/Day-the-Earth-Blew-Up-The-A-Looney-Tunes-Movie-(2024)</t>
  </si>
  <si>
    <t>TRN-0316</t>
  </si>
  <si>
    <t>The Alto Knights</t>
  </si>
  <si>
    <t>https://www.the-numbers.com/movie/Alto-Knights-The-(2025)</t>
  </si>
  <si>
    <t>TRN-0317</t>
  </si>
  <si>
    <t>A Working Man</t>
  </si>
  <si>
    <t>https://www.the-numbers.com/movie/Working-Man-A-(2025)</t>
  </si>
  <si>
    <t>TRN-0318</t>
  </si>
  <si>
    <t>Death of a Unicorn</t>
  </si>
  <si>
    <t>https://www.the-numbers.com/movie/Death-of-a-Unicorn-(2025)</t>
  </si>
  <si>
    <t>TRN-0319</t>
  </si>
  <si>
    <t>The Woman in the Yard</t>
  </si>
  <si>
    <t>https://www.the-numbers.com/movie/Woman-in-the-Yard-The-(2025)</t>
  </si>
  <si>
    <t>TRN-0320</t>
  </si>
  <si>
    <t>A Minecraft Movie</t>
  </si>
  <si>
    <t>https://www.the-numbers.com/movie/Minecraft-Movie-A-(2025)</t>
  </si>
  <si>
    <t>TRN-0321</t>
  </si>
  <si>
    <t>Hell of a Summer</t>
  </si>
  <si>
    <t>https://www.the-numbers.com/movie/Hell-of-a-Summer-(2025)</t>
  </si>
  <si>
    <t>TRN-0322</t>
  </si>
  <si>
    <t>Drop</t>
  </si>
  <si>
    <t>https://www.the-numbers.com/movie/Drop-(2025)</t>
  </si>
  <si>
    <t>TRN-0323</t>
  </si>
  <si>
    <t>The King of Kings</t>
  </si>
  <si>
    <t>Republic of Korea</t>
  </si>
  <si>
    <t>https://www.the-numbers.com/movie/King-of-Kings-The-(2025-South-Korea)</t>
  </si>
  <si>
    <t>TRN-0324</t>
  </si>
  <si>
    <t>Warfare</t>
  </si>
  <si>
    <t>https://www.the-numbers.com/movie/Warfare-(2025)</t>
  </si>
  <si>
    <t>TRN-0325</t>
  </si>
  <si>
    <t>Sinners</t>
  </si>
  <si>
    <t>https://www.the-numbers.com/movie/Sinners-(2025)</t>
  </si>
  <si>
    <t>TRN-0326</t>
  </si>
  <si>
    <t>The Accountant 2</t>
  </si>
  <si>
    <t>https://www.the-numbers.com/movie/Accountant-2-The-(2025)</t>
  </si>
  <si>
    <t>TRN-0327</t>
  </si>
  <si>
    <t>Until Dawn</t>
  </si>
  <si>
    <t>https://www.the-numbers.com/movie/Until-Dawn-(2025)</t>
  </si>
  <si>
    <t>TRN-0328</t>
  </si>
  <si>
    <t>Clown in a Cornfield</t>
  </si>
  <si>
    <t>RLJ Entertainment</t>
  </si>
  <si>
    <t>https://www.the-numbers.com/movie/Clown-in-a-Cornfield-(2025)</t>
  </si>
  <si>
    <t>TRN-0329</t>
  </si>
  <si>
    <t>Shadow Force</t>
  </si>
  <si>
    <t>https://www.the-numbers.com/movie/Shadow-Force-(2025)</t>
  </si>
  <si>
    <t>TRN-0330</t>
  </si>
  <si>
    <t>Final Destination: Bloodlines</t>
  </si>
  <si>
    <t>https://www.the-numbers.com/movie/Final-Destination-Bloodlines-(2025)</t>
  </si>
  <si>
    <t>TRN-0331</t>
  </si>
  <si>
    <t>Hurry Up Tomorrow</t>
  </si>
  <si>
    <t>https://www.the-numbers.com/movie/Hurry-Up-Tomorrow-(2025)</t>
  </si>
  <si>
    <t>TRN-0332</t>
  </si>
  <si>
    <t>Lilo &amp; Stitch</t>
  </si>
  <si>
    <t>https://www.the-numbers.com/movie/Lilo-and-Stitch-(2025)</t>
  </si>
  <si>
    <t>TRN-0333</t>
  </si>
  <si>
    <t>Mission: Impossible—The Final Reckoning</t>
  </si>
  <si>
    <t>https://www.the-numbers.com/movie/Mission-Impossible-The-Final-Reckoning-(2025)</t>
  </si>
  <si>
    <t>TRN-0334</t>
  </si>
  <si>
    <t>The Last Rodeo</t>
  </si>
  <si>
    <t>https://www.the-numbers.com/movie/Last-Rodeo-The-(2025)</t>
  </si>
  <si>
    <t>TRN-0336</t>
  </si>
  <si>
    <t>Karate Kid: Legends</t>
  </si>
  <si>
    <t>https://www.the-numbers.com/movie/Karate-Kid-Legends-(2025)</t>
  </si>
  <si>
    <t>TRN-0337</t>
  </si>
  <si>
    <t>From the World of John Wick: Ballerina</t>
  </si>
  <si>
    <t>https://www.the-numbers.com/movie/From-the-World-of-John-Wick-Ballerina-(2025)</t>
  </si>
  <si>
    <t>TRN-0338</t>
  </si>
  <si>
    <t>How to Train Your Dragon</t>
  </si>
  <si>
    <t>https://www.the-numbers.com/movie/How-to-Train-Your-Dragon-(2025)</t>
  </si>
  <si>
    <t>TRN-0339</t>
  </si>
  <si>
    <t>Materialists</t>
  </si>
  <si>
    <t>https://www.the-numbers.com/movie/Materialists-(2025)</t>
  </si>
  <si>
    <t>TRN-0340</t>
  </si>
  <si>
    <t>28 Years Later</t>
  </si>
  <si>
    <t>https://www.the-numbers.com/movie/28-Years-Later-(2025)</t>
  </si>
  <si>
    <t>TRN-0341</t>
  </si>
  <si>
    <t>Elio</t>
  </si>
  <si>
    <t>https://www.the-numbers.com/movie/Elio-(2025)</t>
  </si>
  <si>
    <t>TRN-0342</t>
  </si>
  <si>
    <t>M3GAN 2.0</t>
  </si>
  <si>
    <t>https://www.the-numbers.com/movie/M3GAN-2-0-(2025)</t>
  </si>
  <si>
    <t>TRN-0344</t>
  </si>
  <si>
    <t>Superman</t>
  </si>
  <si>
    <t>https://www.the-numbers.com/movie/Superman-(2025)</t>
  </si>
  <si>
    <t>TRN-0345</t>
  </si>
  <si>
    <t>Eddington</t>
  </si>
  <si>
    <t>https://www.the-numbers.com/movie/Eddington-(2025)</t>
  </si>
  <si>
    <t>TRN-0346</t>
  </si>
  <si>
    <t>I Know What You Did Last Summer</t>
  </si>
  <si>
    <t>https://www.the-numbers.com/movie/I-Know-What-You-Did-Last-Summer-(2025)</t>
  </si>
  <si>
    <t>TRN-0347</t>
  </si>
  <si>
    <t>Smurfs</t>
  </si>
  <si>
    <t>https://www.the-numbers.com/movie/Smurfs-(2025)</t>
  </si>
  <si>
    <t>TRN-0348</t>
  </si>
  <si>
    <t>The Fantastic Four: First Steps</t>
  </si>
  <si>
    <t>https://www.the-numbers.com/movie/Fantastic-Four-The-First-Steps-(2025)</t>
  </si>
  <si>
    <t>TRN-0349</t>
  </si>
  <si>
    <t>The Naked Gun</t>
  </si>
  <si>
    <t>https://www.the-numbers.com/movie/Naked-Gun-The-(2025)</t>
  </si>
  <si>
    <t>TRN-0350</t>
  </si>
  <si>
    <t>Sketch</t>
  </si>
  <si>
    <t>https://www.the-numbers.com/movie/Sketch-(2025)</t>
  </si>
  <si>
    <t>TRN-0351</t>
  </si>
  <si>
    <t>Freakier Friday</t>
  </si>
  <si>
    <t>https://www.the-numbers.com/movie/Freakier-Friday-(2025)</t>
  </si>
  <si>
    <t>TRN-0352</t>
  </si>
  <si>
    <t>Weapons</t>
  </si>
  <si>
    <t>https://www.the-numbers.com/movie/Weapons-(2025)</t>
  </si>
  <si>
    <t>TRN-0353</t>
  </si>
  <si>
    <t>Eden</t>
  </si>
  <si>
    <t>Vertical Entertainment</t>
  </si>
  <si>
    <t>https://www.the-numbers.com/movie/Eden-(2025)</t>
  </si>
  <si>
    <t>TRN-0354</t>
  </si>
  <si>
    <t>Light of the World</t>
  </si>
  <si>
    <t>Salvation Poem Project</t>
  </si>
  <si>
    <t>https://www.the-numbers.com/movie/Light-of-the-World-(2025)</t>
  </si>
  <si>
    <t>TRN-0355</t>
  </si>
  <si>
    <t>The Conjuring: Last Rites</t>
  </si>
  <si>
    <t>https://www.the-numbers.com/movie/Conjuring-The-Last-Rites-(2025)</t>
  </si>
  <si>
    <t>TRN-0356</t>
  </si>
  <si>
    <t>The Roses</t>
  </si>
  <si>
    <t>Searchlight Pictures</t>
  </si>
  <si>
    <t>https://www.the-numbers.com/movie/Roses-The-(2025-United-Kingdom)</t>
  </si>
  <si>
    <t>TRN-0360</t>
  </si>
  <si>
    <t>Him</t>
  </si>
  <si>
    <t>https://www.the-numbers.com/movie/Him-(2025)</t>
  </si>
  <si>
    <t>TRN-0361</t>
  </si>
  <si>
    <t>Gabby’s Dollhouse: The Movie</t>
  </si>
  <si>
    <t>G</t>
  </si>
  <si>
    <t>https://www.the-numbers.com/movie/Gabbys-Dollhouse-The-Movie-(2025)</t>
  </si>
  <si>
    <t>TRN-0363</t>
  </si>
  <si>
    <t>The Smashing Machine</t>
  </si>
  <si>
    <t>https://www.the-numbers.com/movie/Smashing-Machine-The-(2025)</t>
  </si>
  <si>
    <t>TRN-0364</t>
  </si>
  <si>
    <t>Kiss of the Spider Woman</t>
  </si>
  <si>
    <t>https://www.the-numbers.com/movie/Kiss-of-the-Spider-Woman-(2025)</t>
  </si>
  <si>
    <t>TRN-0365</t>
  </si>
  <si>
    <t>Roofman</t>
  </si>
  <si>
    <t>https://www.the-numbers.com/movie/Roofman-(2025)</t>
  </si>
  <si>
    <t>TRN-0366</t>
  </si>
  <si>
    <t>Tron: Ares</t>
  </si>
  <si>
    <t>https://www.the-numbers.com/movie/Tron-Ares-(2025)</t>
  </si>
  <si>
    <t>TRN-0367</t>
  </si>
  <si>
    <t>Black Phone 2</t>
  </si>
  <si>
    <t>https://www.the-numbers.com/movie/Black-Phone-2-(2025)</t>
  </si>
  <si>
    <t>TRN-0368</t>
  </si>
  <si>
    <t>Good Fortune</t>
  </si>
  <si>
    <t>https://www.the-numbers.com/movie/Good-Fortune-(2025)</t>
  </si>
  <si>
    <t>TRN-0369</t>
  </si>
  <si>
    <t>Regretting You</t>
  </si>
  <si>
    <t>https://www.the-numbers.com/movie/Regretting-You-(2025)</t>
  </si>
  <si>
    <t>TRN-0370</t>
  </si>
  <si>
    <t>Shelby Oaks</t>
  </si>
  <si>
    <t>https://www.the-numbers.com/movie/Shelby-Oaks-(2025)</t>
  </si>
  <si>
    <t>TRN-0371</t>
  </si>
  <si>
    <t>Springsteen: Deliver Me From Nowhere</t>
  </si>
  <si>
    <t>https://www.the-numbers.com/movie/Springsteen-Deliver-Me-From-Nowhere-(2025)</t>
  </si>
  <si>
    <t>TRN-0372</t>
  </si>
  <si>
    <t>Christy</t>
  </si>
  <si>
    <t>Black Bear Pictures</t>
  </si>
  <si>
    <t>https://www.the-numbers.com/movie/Christy-(2025)</t>
  </si>
  <si>
    <t>TRN-0373</t>
  </si>
  <si>
    <t>Nuremberg</t>
  </si>
  <si>
    <t>Sony Pictures Classics</t>
  </si>
  <si>
    <t>https://www.the-numbers.com/movie/Nuremberg-(2025)</t>
  </si>
  <si>
    <t>TRN-0374</t>
  </si>
  <si>
    <t>Predator: Badlands</t>
  </si>
  <si>
    <t>https://www.the-numbers.com/movie/Predator-Badlands-(2025)</t>
  </si>
  <si>
    <t>TRN-0375</t>
  </si>
  <si>
    <t>Keeper</t>
  </si>
  <si>
    <t>https://www.the-numbers.com/movie/Keeper-(2025)</t>
  </si>
  <si>
    <t>TRN-0376</t>
  </si>
  <si>
    <t>Now You See Me: Now You Don’t</t>
  </si>
  <si>
    <t>https://www.the-numbers.com/movie/Now-You-See-Me-Now-You-Dont-(2025)</t>
  </si>
  <si>
    <t>TRN-0377</t>
  </si>
  <si>
    <t>The Running Man</t>
  </si>
  <si>
    <t>https://www.the-numbers.com/movie/Running-Man-The-(2025)</t>
  </si>
  <si>
    <t>TRN-0378</t>
  </si>
  <si>
    <t>SISU: Road to Revenge</t>
  </si>
  <si>
    <t>Finland, United States</t>
  </si>
  <si>
    <t>https://www.the-numbers.com/movie/Sisu-Road-to-Revenge-(2025)</t>
  </si>
  <si>
    <t>TRN-0379</t>
  </si>
  <si>
    <t>Wicked: For Good</t>
  </si>
  <si>
    <t>https://www.the-numbers.com/movie/Wicked-For-Good-(2025)</t>
  </si>
  <si>
    <t>TRN-0380</t>
  </si>
  <si>
    <t>Eternity</t>
  </si>
  <si>
    <t>https://www.the-numbers.com/movie/Eternity-(2025)</t>
  </si>
  <si>
    <t>TRN-0381</t>
  </si>
  <si>
    <t>100 Nights of Hero</t>
  </si>
  <si>
    <t>IFC Entertainment Group</t>
  </si>
  <si>
    <t>https://www.the-numbers.com/movie/100-Nights-of-Hero-(2025-United-Kingdom)</t>
  </si>
  <si>
    <t>TRN-0382</t>
  </si>
  <si>
    <t>Five Nights at Freddy’s 2</t>
  </si>
  <si>
    <t>https://www.the-numbers.com/movie/Five-Nights-at-Freddys-2-(2025)</t>
  </si>
  <si>
    <t>TRN-0383</t>
  </si>
  <si>
    <t>Ella McCay</t>
  </si>
  <si>
    <t>https://www.the-numbers.com/movie/Ella-McCay-(2025)</t>
  </si>
  <si>
    <t>TRN-0384</t>
  </si>
  <si>
    <t>Avatar: Fire and Ash</t>
  </si>
  <si>
    <t>https://www.the-numbers.com/movie/Avatar-Fire-and-Ash-(2025)</t>
  </si>
  <si>
    <t>TRN-0385</t>
  </si>
  <si>
    <t>David</t>
  </si>
  <si>
    <t>https://www.the-numbers.com/movie/David-(2025)</t>
  </si>
  <si>
    <t>TRN-0386</t>
  </si>
  <si>
    <t>The Housemaid</t>
  </si>
  <si>
    <t>https://www.the-numbers.com/movie/Housemaid-The-(2025)</t>
  </si>
  <si>
    <t>TRN-0387</t>
  </si>
  <si>
    <t>The SpongeBob Movie: Search for Squarepants</t>
  </si>
  <si>
    <t>https://www.the-numbers.com/movie/SpongeBob-Movie-The-Search-for-Squarepants-(2025)</t>
  </si>
  <si>
    <t>TRN-0388</t>
  </si>
  <si>
    <t>Anaconda</t>
  </si>
  <si>
    <t>https://www.the-numbers.com/movie/Anaconda-(2025)</t>
  </si>
  <si>
    <t>TRN-0389</t>
  </si>
  <si>
    <t>Song Sung Blue</t>
  </si>
  <si>
    <t>https://www.the-numbers.com/movie/Song-Sung-Blue-(2025)</t>
  </si>
  <si>
    <t>Variable</t>
  </si>
  <si>
    <t>Role</t>
  </si>
  <si>
    <t>Type</t>
  </si>
  <si>
    <t>Definition</t>
  </si>
  <si>
    <t>Units / values</t>
  </si>
  <si>
    <t>Guidance</t>
  </si>
  <si>
    <t>Identifier</t>
  </si>
  <si>
    <t>Text</t>
  </si>
  <si>
    <t>Unique row identifier</t>
  </si>
  <si>
    <t>TRN-, HST-, or NOV- prefix</t>
  </si>
  <si>
    <t>Do not use as a predictor</t>
  </si>
  <si>
    <t>Movie title</t>
  </si>
  <si>
    <t>Do not use directly as a predictor</t>
  </si>
  <si>
    <t>Timing</t>
  </si>
  <si>
    <t>Date</t>
  </si>
  <si>
    <t>First domestic wide-release date represented by the row</t>
  </si>
  <si>
    <t>yyyy-mm-dd</t>
  </si>
  <si>
    <t>May be used to construct justified timing variables</t>
  </si>
  <si>
    <t>Candidate predictor</t>
  </si>
  <si>
    <t>Integer</t>
  </si>
  <si>
    <t>Calendar year of domestic wide release</t>
  </si>
  <si>
    <t>2019, 2022-2026</t>
  </si>
  <si>
    <t>Treat as a numeric trend only with justification</t>
  </si>
  <si>
    <t>Calendar month of release</t>
  </si>
  <si>
    <t>1-12</t>
  </si>
  <si>
    <t>Alternative to grouped timing variables</t>
  </si>
  <si>
    <t>Category</t>
  </si>
  <si>
    <t>Quarter of release</t>
  </si>
  <si>
    <t>Q1-Q4</t>
  </si>
  <si>
    <t>Do not automatically include with every other timing indicator</t>
  </si>
  <si>
    <t>Numeric</t>
  </si>
  <si>
    <t>Domestic opening-weekend box-office revenue</t>
  </si>
  <si>
    <t>USD millions</t>
  </si>
  <si>
    <t>Prediction target; hidden from students in the test set</t>
  </si>
  <si>
    <t>Reported production budget</t>
  </si>
  <si>
    <t>Consider scale and nonlinearity</t>
  </si>
  <si>
    <t>Number of domestic theaters in opening weekend</t>
  </si>
  <si>
    <t>Theaters; eligibility requires &gt;=600</t>
  </si>
  <si>
    <t>Distribution-intensity predictor</t>
  </si>
  <si>
    <t>Movie running time</t>
  </si>
  <si>
    <t>Minutes</t>
  </si>
  <si>
    <t>Contains limited source-native missingness in training</t>
  </si>
  <si>
    <t>Standard MPA rating when reported</t>
  </si>
  <si>
    <t>G, PG, PG-13, R</t>
  </si>
  <si>
    <t>Raw alternative to rating_group</t>
  </si>
  <si>
    <t>Simplified rating category</t>
  </si>
  <si>
    <t>G_or_PG, PG-13, R</t>
  </si>
  <si>
    <t>Use rating or rating_group, not both</t>
  </si>
  <si>
    <t>Detailed source genre</t>
  </si>
  <si>
    <t>Source categories</t>
  </si>
  <si>
    <t>Raw alternative to genre_group</t>
  </si>
  <si>
    <t>Harmonized genre</t>
  </si>
  <si>
    <t>Seven grouped categories</t>
  </si>
  <si>
    <t>Recommended lower-cardinality version</t>
  </si>
  <si>
    <t>Domestic distributor</t>
  </si>
  <si>
    <t>Studio/distributor names</t>
  </si>
  <si>
    <t>High-cardinality raw alternative</t>
  </si>
  <si>
    <t>Harmonized distributor group</t>
  </si>
  <si>
    <t>Text/category</t>
  </si>
  <si>
    <t>Countries credited for production</t>
  </si>
  <si>
    <t>Comma-separated names</t>
  </si>
  <si>
    <t>Raw alternative to production_origin</t>
  </si>
  <si>
    <t>United States only versus international/coproduction</t>
  </si>
  <si>
    <t>Two groups</t>
  </si>
  <si>
    <t>Recommended binary version</t>
  </si>
  <si>
    <t>Binary</t>
  </si>
  <si>
    <t>Release month is May, June, or July</t>
  </si>
  <si>
    <t>0/1</t>
  </si>
  <si>
    <t>Derived timing indicator</t>
  </si>
  <si>
    <t>Release month is November or December</t>
  </si>
  <si>
    <t>Audit</t>
  </si>
  <si>
    <t>Source collection used for the row</t>
  </si>
  <si>
    <t>URL</t>
  </si>
  <si>
    <t>Movie-level source page</t>
  </si>
  <si>
    <t>Plain-text URL</t>
  </si>
  <si>
    <t>Supplied field</t>
  </si>
  <si>
    <t>Historical audience score reported in the supplemental movie extract</t>
  </si>
  <si>
    <t>0-100</t>
  </si>
  <si>
    <t>Assess whether it would be observable before release</t>
  </si>
  <si>
    <t>Total domestic box-office revenue over the movie's theatrical run</t>
  </si>
  <si>
    <t>Assess timing relative to the prediction target</t>
  </si>
  <si>
    <t>Total foreign box-office revenue over the movie's theatrical run</t>
  </si>
  <si>
    <t>Contains source-coverage gaps; blank does not mean zero</t>
  </si>
  <si>
    <t>Total worldwide box-office revenue over the movie's theatrical run</t>
  </si>
  <si>
    <t>Assess timing and relationships to other revenue fields</t>
  </si>
  <si>
    <t>Derived field</t>
  </si>
  <si>
    <t>Numeric/formula</t>
  </si>
  <si>
    <t>Opening-weekend revenue divided by opening theaters</t>
  </si>
  <si>
    <t>USD thousands per theater</t>
  </si>
  <si>
    <t>Inspect the components used to construct this field</t>
  </si>
  <si>
    <t>Opening-weekend revenue divided by production budget</t>
  </si>
  <si>
    <t>Percentage</t>
  </si>
  <si>
    <t>Worldwide box-office revenue divided by production budget</t>
  </si>
  <si>
    <t>Assess timing and inspect the components used to construct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</si>
</sst>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%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14" sqref="A14"/>
    </sheetView>
  </sheetViews>
  <sheetFormatPr baseColWidth="10" defaultColWidth="8.83203125" defaultRowHeight="14"/>
  <cols>
    <col min="1" max="1" width="27" customWidth="1"/>
    <col min="2" max="2" width="92" customWidth="1"/>
  </cols>
  <sheetData>
    <row r="1" spans="1:2" ht="20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0"/>
  <sheetViews>
    <sheetView tabSelected="1" workbookViewId="0">
      <pane xSplit="2" ySplit="1" topLeftCell="N310" activePane="bottomRight" state="frozen"/>
      <selection pane="topRight"/>
      <selection pane="bottomLeft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34" customWidth="1"/>
    <col min="3" max="6" width="13" customWidth="1"/>
    <col min="7" max="10" width="18" customWidth="1"/>
    <col min="11" max="16" width="22" customWidth="1"/>
    <col min="17" max="17" width="30" customWidth="1"/>
    <col min="18" max="20" width="22" customWidth="1"/>
    <col min="21" max="21" width="34" customWidth="1"/>
    <col min="22" max="22" width="56" customWidth="1"/>
    <col min="23" max="29" width="22" customWidth="1"/>
  </cols>
  <sheetData>
    <row r="1" spans="1:29" ht="36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</row>
    <row r="2" spans="1:29">
      <c r="A2" t="s">
        <v>35</v>
      </c>
      <c r="B2" t="s">
        <v>36</v>
      </c>
      <c r="C2" s="3">
        <v>43469</v>
      </c>
      <c r="D2">
        <v>2019</v>
      </c>
      <c r="E2">
        <v>1</v>
      </c>
      <c r="F2" t="s">
        <v>37</v>
      </c>
      <c r="G2" s="4">
        <v>18.238171999999999</v>
      </c>
      <c r="H2" s="4">
        <v>9</v>
      </c>
      <c r="I2" s="5">
        <v>2717</v>
      </c>
      <c r="J2" s="5">
        <v>109</v>
      </c>
      <c r="K2" t="s">
        <v>38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s="5">
        <v>0</v>
      </c>
      <c r="T2" s="5">
        <v>0</v>
      </c>
      <c r="U2" t="s">
        <v>44</v>
      </c>
      <c r="V2" t="s">
        <v>45</v>
      </c>
      <c r="W2" s="5">
        <v>54</v>
      </c>
      <c r="X2" s="4">
        <v>57</v>
      </c>
      <c r="Y2" s="4">
        <v>98.61</v>
      </c>
      <c r="Z2" s="4">
        <v>155.62</v>
      </c>
      <c r="AA2" s="4">
        <f t="shared" ref="AA2:AA65" si="0">IFERROR(G2*1000/I2,"")</f>
        <v>6.7126139124033859</v>
      </c>
      <c r="AB2" s="6">
        <f t="shared" ref="AB2:AB65" si="1">IFERROR(G2/H2,"")</f>
        <v>2.0264635555555555</v>
      </c>
      <c r="AC2" s="6">
        <f t="shared" ref="AC2:AC65" si="2">IF(Z2="","",Z2/H2)</f>
        <v>17.29111111111111</v>
      </c>
    </row>
    <row r="3" spans="1:29">
      <c r="A3" t="s">
        <v>46</v>
      </c>
      <c r="B3" t="s">
        <v>47</v>
      </c>
      <c r="C3" s="3">
        <v>43476</v>
      </c>
      <c r="D3">
        <v>2019</v>
      </c>
      <c r="E3">
        <v>1</v>
      </c>
      <c r="F3" t="s">
        <v>37</v>
      </c>
      <c r="G3" s="4">
        <v>11.251263</v>
      </c>
      <c r="H3" s="4">
        <v>61</v>
      </c>
      <c r="I3" s="5">
        <v>3090</v>
      </c>
      <c r="J3" s="5">
        <v>102</v>
      </c>
      <c r="K3" t="s">
        <v>48</v>
      </c>
      <c r="L3" t="s">
        <v>49</v>
      </c>
      <c r="M3" t="s">
        <v>50</v>
      </c>
      <c r="N3" t="s">
        <v>50</v>
      </c>
      <c r="O3" t="s">
        <v>40</v>
      </c>
      <c r="P3" t="s">
        <v>41</v>
      </c>
      <c r="Q3" t="s">
        <v>42</v>
      </c>
      <c r="R3" t="s">
        <v>43</v>
      </c>
      <c r="S3" s="5">
        <v>0</v>
      </c>
      <c r="T3" s="5">
        <v>0</v>
      </c>
      <c r="U3" t="s">
        <v>44</v>
      </c>
      <c r="V3" t="s">
        <v>51</v>
      </c>
      <c r="W3" s="5">
        <v>71</v>
      </c>
      <c r="X3" s="4">
        <v>41.95</v>
      </c>
      <c r="Y3" s="4">
        <v>39.200000000000003</v>
      </c>
      <c r="Z3" s="4">
        <v>81.150000000000006</v>
      </c>
      <c r="AA3" s="4">
        <f t="shared" si="0"/>
        <v>3.6411854368932035</v>
      </c>
      <c r="AB3" s="6">
        <f t="shared" si="1"/>
        <v>0.1844469344262295</v>
      </c>
      <c r="AC3" s="6">
        <f t="shared" si="2"/>
        <v>1.3303278688524591</v>
      </c>
    </row>
    <row r="4" spans="1:29">
      <c r="A4" t="s">
        <v>52</v>
      </c>
      <c r="B4" t="s">
        <v>53</v>
      </c>
      <c r="C4" s="3">
        <v>43476</v>
      </c>
      <c r="D4">
        <v>2019</v>
      </c>
      <c r="E4">
        <v>1</v>
      </c>
      <c r="F4" t="s">
        <v>37</v>
      </c>
      <c r="G4" s="4">
        <v>2.3753250000000001</v>
      </c>
      <c r="H4" s="4">
        <v>30</v>
      </c>
      <c r="I4" s="5">
        <v>2329</v>
      </c>
      <c r="J4" s="5">
        <v>107</v>
      </c>
      <c r="K4" t="s">
        <v>38</v>
      </c>
      <c r="L4" t="s">
        <v>38</v>
      </c>
      <c r="M4" t="s">
        <v>54</v>
      </c>
      <c r="N4" t="s">
        <v>54</v>
      </c>
      <c r="O4" t="s">
        <v>55</v>
      </c>
      <c r="P4" t="s">
        <v>56</v>
      </c>
      <c r="Q4" t="s">
        <v>42</v>
      </c>
      <c r="R4" t="s">
        <v>43</v>
      </c>
      <c r="S4" s="5">
        <v>0</v>
      </c>
      <c r="T4" s="5">
        <v>0</v>
      </c>
      <c r="U4" t="s">
        <v>57</v>
      </c>
      <c r="V4" t="s">
        <v>58</v>
      </c>
      <c r="W4" s="5"/>
      <c r="X4" s="4"/>
      <c r="Y4" s="4"/>
      <c r="Z4" s="4"/>
      <c r="AA4" s="4">
        <f t="shared" si="0"/>
        <v>1.0198905109489051</v>
      </c>
      <c r="AB4" s="6">
        <f t="shared" si="1"/>
        <v>7.9177499999999998E-2</v>
      </c>
      <c r="AC4" s="6" t="str">
        <f t="shared" si="2"/>
        <v/>
      </c>
    </row>
    <row r="5" spans="1:29">
      <c r="A5" t="s">
        <v>59</v>
      </c>
      <c r="B5" t="s">
        <v>60</v>
      </c>
      <c r="C5" s="3">
        <v>43481</v>
      </c>
      <c r="D5">
        <v>2019</v>
      </c>
      <c r="E5">
        <v>1</v>
      </c>
      <c r="F5" t="s">
        <v>37</v>
      </c>
      <c r="G5" s="4">
        <v>9.8161970000000007</v>
      </c>
      <c r="H5" s="4">
        <v>8.5</v>
      </c>
      <c r="I5" s="5">
        <v>1247</v>
      </c>
      <c r="J5" s="5">
        <v>100</v>
      </c>
      <c r="K5" t="s">
        <v>48</v>
      </c>
      <c r="L5" t="s">
        <v>49</v>
      </c>
      <c r="M5" t="s">
        <v>61</v>
      </c>
      <c r="N5" t="s">
        <v>61</v>
      </c>
      <c r="O5" t="s">
        <v>62</v>
      </c>
      <c r="P5" t="s">
        <v>56</v>
      </c>
      <c r="Q5" t="s">
        <v>63</v>
      </c>
      <c r="R5" t="s">
        <v>64</v>
      </c>
      <c r="S5" s="5">
        <v>0</v>
      </c>
      <c r="T5" s="5">
        <v>0</v>
      </c>
      <c r="U5" t="s">
        <v>57</v>
      </c>
      <c r="V5" t="s">
        <v>65</v>
      </c>
      <c r="W5" s="5"/>
      <c r="X5" s="4"/>
      <c r="Y5" s="4"/>
      <c r="Z5" s="4"/>
      <c r="AA5" s="4">
        <f t="shared" si="0"/>
        <v>7.8718500400962315</v>
      </c>
      <c r="AB5" s="6">
        <f t="shared" si="1"/>
        <v>1.1548467058823531</v>
      </c>
      <c r="AC5" s="6" t="str">
        <f t="shared" si="2"/>
        <v/>
      </c>
    </row>
    <row r="6" spans="1:29">
      <c r="A6" t="s">
        <v>66</v>
      </c>
      <c r="B6" t="s">
        <v>67</v>
      </c>
      <c r="C6" s="3">
        <v>43483</v>
      </c>
      <c r="D6">
        <v>2019</v>
      </c>
      <c r="E6">
        <v>1</v>
      </c>
      <c r="F6" t="s">
        <v>37</v>
      </c>
      <c r="G6" s="4">
        <v>40.328919999999997</v>
      </c>
      <c r="H6" s="4">
        <v>20</v>
      </c>
      <c r="I6" s="5">
        <v>3841</v>
      </c>
      <c r="J6" s="5">
        <v>128</v>
      </c>
      <c r="K6" t="s">
        <v>38</v>
      </c>
      <c r="L6" t="s">
        <v>38</v>
      </c>
      <c r="M6" t="s">
        <v>54</v>
      </c>
      <c r="N6" t="s">
        <v>54</v>
      </c>
      <c r="O6" t="s">
        <v>68</v>
      </c>
      <c r="P6" t="s">
        <v>68</v>
      </c>
      <c r="Q6" t="s">
        <v>42</v>
      </c>
      <c r="R6" t="s">
        <v>43</v>
      </c>
      <c r="S6" s="5">
        <v>0</v>
      </c>
      <c r="T6" s="5">
        <v>0</v>
      </c>
      <c r="U6" t="s">
        <v>44</v>
      </c>
      <c r="V6" t="s">
        <v>69</v>
      </c>
      <c r="W6" s="5">
        <v>66</v>
      </c>
      <c r="X6" s="4">
        <v>111.05</v>
      </c>
      <c r="Y6" s="4">
        <v>135.94999999999999</v>
      </c>
      <c r="Z6" s="4">
        <v>247</v>
      </c>
      <c r="AA6" s="4">
        <f t="shared" si="0"/>
        <v>10.499588648789377</v>
      </c>
      <c r="AB6" s="6">
        <f t="shared" si="1"/>
        <v>2.0164459999999997</v>
      </c>
      <c r="AC6" s="6">
        <f t="shared" si="2"/>
        <v>12.35</v>
      </c>
    </row>
    <row r="7" spans="1:29">
      <c r="A7" t="s">
        <v>70</v>
      </c>
      <c r="B7" t="s">
        <v>71</v>
      </c>
      <c r="C7" s="3">
        <v>43490</v>
      </c>
      <c r="D7">
        <v>2019</v>
      </c>
      <c r="E7">
        <v>1</v>
      </c>
      <c r="F7" t="s">
        <v>37</v>
      </c>
      <c r="G7" s="4">
        <v>7.1738869999999997</v>
      </c>
      <c r="H7" s="4">
        <v>59</v>
      </c>
      <c r="I7" s="5">
        <v>3521</v>
      </c>
      <c r="J7" s="5">
        <v>132</v>
      </c>
      <c r="K7" t="s">
        <v>48</v>
      </c>
      <c r="L7" t="s">
        <v>49</v>
      </c>
      <c r="M7" t="s">
        <v>72</v>
      </c>
      <c r="N7" t="s">
        <v>72</v>
      </c>
      <c r="O7" t="s">
        <v>73</v>
      </c>
      <c r="P7" t="s">
        <v>74</v>
      </c>
      <c r="Q7" t="s">
        <v>75</v>
      </c>
      <c r="R7" t="s">
        <v>64</v>
      </c>
      <c r="S7" s="5">
        <v>0</v>
      </c>
      <c r="T7" s="5">
        <v>0</v>
      </c>
      <c r="U7" t="s">
        <v>57</v>
      </c>
      <c r="V7" t="s">
        <v>76</v>
      </c>
      <c r="W7" s="5"/>
      <c r="X7" s="4"/>
      <c r="Y7" s="4"/>
      <c r="Z7" s="4"/>
      <c r="AA7" s="4">
        <f t="shared" si="0"/>
        <v>2.0374572564612325</v>
      </c>
      <c r="AB7" s="6">
        <f t="shared" si="1"/>
        <v>0.12159130508474576</v>
      </c>
      <c r="AC7" s="6" t="str">
        <f t="shared" si="2"/>
        <v/>
      </c>
    </row>
    <row r="8" spans="1:29">
      <c r="A8" t="s">
        <v>77</v>
      </c>
      <c r="B8" t="s">
        <v>78</v>
      </c>
      <c r="C8" s="3">
        <v>43497</v>
      </c>
      <c r="D8">
        <v>2019</v>
      </c>
      <c r="E8">
        <v>2</v>
      </c>
      <c r="F8" t="s">
        <v>37</v>
      </c>
      <c r="G8" s="4">
        <v>6.864744</v>
      </c>
      <c r="H8" s="4">
        <v>15</v>
      </c>
      <c r="I8" s="5">
        <v>2203</v>
      </c>
      <c r="J8" s="5">
        <v>104</v>
      </c>
      <c r="K8" t="s">
        <v>38</v>
      </c>
      <c r="L8" t="s">
        <v>38</v>
      </c>
      <c r="M8" t="s">
        <v>61</v>
      </c>
      <c r="N8" t="s">
        <v>61</v>
      </c>
      <c r="O8" t="s">
        <v>40</v>
      </c>
      <c r="P8" t="s">
        <v>41</v>
      </c>
      <c r="Q8" t="s">
        <v>79</v>
      </c>
      <c r="R8" t="s">
        <v>64</v>
      </c>
      <c r="S8" s="5">
        <v>0</v>
      </c>
      <c r="T8" s="5">
        <v>0</v>
      </c>
      <c r="U8" t="s">
        <v>44</v>
      </c>
      <c r="V8" t="s">
        <v>80</v>
      </c>
      <c r="W8" s="5">
        <v>63</v>
      </c>
      <c r="X8" s="4">
        <v>15</v>
      </c>
      <c r="Y8" s="4">
        <v>0.37</v>
      </c>
      <c r="Z8" s="4">
        <v>15.36</v>
      </c>
      <c r="AA8" s="4">
        <f t="shared" si="0"/>
        <v>3.1160889695869267</v>
      </c>
      <c r="AB8" s="6">
        <f t="shared" si="1"/>
        <v>0.45764959999999999</v>
      </c>
      <c r="AC8" s="6">
        <f t="shared" si="2"/>
        <v>1.024</v>
      </c>
    </row>
    <row r="9" spans="1:29">
      <c r="A9" t="s">
        <v>81</v>
      </c>
      <c r="B9" t="s">
        <v>82</v>
      </c>
      <c r="C9" s="3">
        <v>43504</v>
      </c>
      <c r="D9">
        <v>2019</v>
      </c>
      <c r="E9">
        <v>2</v>
      </c>
      <c r="F9" t="s">
        <v>37</v>
      </c>
      <c r="G9" s="4">
        <v>11.030233000000001</v>
      </c>
      <c r="H9" s="4">
        <v>60</v>
      </c>
      <c r="I9" s="5">
        <v>2630</v>
      </c>
      <c r="J9" s="5">
        <v>118</v>
      </c>
      <c r="K9" t="s">
        <v>83</v>
      </c>
      <c r="L9" t="s">
        <v>83</v>
      </c>
      <c r="M9" t="s">
        <v>54</v>
      </c>
      <c r="N9" t="s">
        <v>54</v>
      </c>
      <c r="O9" t="s">
        <v>84</v>
      </c>
      <c r="P9" t="s">
        <v>84</v>
      </c>
      <c r="Q9" t="s">
        <v>42</v>
      </c>
      <c r="R9" t="s">
        <v>43</v>
      </c>
      <c r="S9" s="5">
        <v>0</v>
      </c>
      <c r="T9" s="5">
        <v>0</v>
      </c>
      <c r="U9" t="s">
        <v>44</v>
      </c>
      <c r="V9" t="s">
        <v>85</v>
      </c>
      <c r="W9" s="5">
        <v>45</v>
      </c>
      <c r="X9" s="4">
        <v>32.14</v>
      </c>
      <c r="Y9" s="4">
        <v>30.46</v>
      </c>
      <c r="Z9" s="4">
        <v>62.6</v>
      </c>
      <c r="AA9" s="4">
        <f t="shared" si="0"/>
        <v>4.1940049429657797</v>
      </c>
      <c r="AB9" s="6">
        <f t="shared" si="1"/>
        <v>0.18383721666666669</v>
      </c>
      <c r="AC9" s="6">
        <f t="shared" si="2"/>
        <v>1.0433333333333334</v>
      </c>
    </row>
    <row r="10" spans="1:29">
      <c r="A10" t="s">
        <v>86</v>
      </c>
      <c r="B10" t="s">
        <v>87</v>
      </c>
      <c r="C10" s="3">
        <v>43504</v>
      </c>
      <c r="D10">
        <v>2019</v>
      </c>
      <c r="E10">
        <v>2</v>
      </c>
      <c r="F10" t="s">
        <v>37</v>
      </c>
      <c r="G10" s="4">
        <v>5.8530610000000003</v>
      </c>
      <c r="H10" s="4">
        <v>6</v>
      </c>
      <c r="I10" s="5">
        <v>2530</v>
      </c>
      <c r="J10" s="5">
        <v>100</v>
      </c>
      <c r="K10" t="s">
        <v>83</v>
      </c>
      <c r="L10" t="s">
        <v>83</v>
      </c>
      <c r="M10" t="s">
        <v>39</v>
      </c>
      <c r="N10" t="s">
        <v>39</v>
      </c>
      <c r="O10" t="s">
        <v>88</v>
      </c>
      <c r="P10" t="s">
        <v>56</v>
      </c>
      <c r="Q10" t="s">
        <v>89</v>
      </c>
      <c r="R10" t="s">
        <v>64</v>
      </c>
      <c r="S10" s="5">
        <v>0</v>
      </c>
      <c r="T10" s="5">
        <v>0</v>
      </c>
      <c r="U10" t="s">
        <v>44</v>
      </c>
      <c r="V10" t="s">
        <v>90</v>
      </c>
      <c r="W10" s="5">
        <v>37</v>
      </c>
      <c r="X10" s="4">
        <v>14.86</v>
      </c>
      <c r="Y10" s="4">
        <v>7.56</v>
      </c>
      <c r="Z10" s="4">
        <v>22.41</v>
      </c>
      <c r="AA10" s="4">
        <f t="shared" si="0"/>
        <v>2.3134628458498026</v>
      </c>
      <c r="AB10" s="6">
        <f t="shared" si="1"/>
        <v>0.97551016666666668</v>
      </c>
      <c r="AC10" s="6">
        <f t="shared" si="2"/>
        <v>3.7349999999999999</v>
      </c>
    </row>
    <row r="11" spans="1:29">
      <c r="A11" t="s">
        <v>91</v>
      </c>
      <c r="B11" t="s">
        <v>92</v>
      </c>
      <c r="C11" s="3">
        <v>43504</v>
      </c>
      <c r="D11">
        <v>2019</v>
      </c>
      <c r="E11">
        <v>2</v>
      </c>
      <c r="F11" t="s">
        <v>37</v>
      </c>
      <c r="G11" s="4">
        <v>18.232087</v>
      </c>
      <c r="H11" s="4">
        <v>20</v>
      </c>
      <c r="I11" s="5">
        <v>2912</v>
      </c>
      <c r="J11" s="5">
        <v>117</v>
      </c>
      <c r="K11" t="s">
        <v>83</v>
      </c>
      <c r="L11" t="s">
        <v>83</v>
      </c>
      <c r="M11" t="s">
        <v>93</v>
      </c>
      <c r="N11" t="s">
        <v>94</v>
      </c>
      <c r="O11" t="s">
        <v>95</v>
      </c>
      <c r="P11" t="s">
        <v>96</v>
      </c>
      <c r="Q11" t="s">
        <v>42</v>
      </c>
      <c r="R11" t="s">
        <v>43</v>
      </c>
      <c r="S11" s="5">
        <v>0</v>
      </c>
      <c r="T11" s="5">
        <v>0</v>
      </c>
      <c r="U11" t="s">
        <v>44</v>
      </c>
      <c r="V11" t="s">
        <v>97</v>
      </c>
      <c r="W11" s="5">
        <v>40</v>
      </c>
      <c r="X11" s="4">
        <v>54.61</v>
      </c>
      <c r="Y11" s="4">
        <v>15.3</v>
      </c>
      <c r="Z11" s="4">
        <v>69.91</v>
      </c>
      <c r="AA11" s="4">
        <f t="shared" si="0"/>
        <v>6.2610188873626376</v>
      </c>
      <c r="AB11" s="6">
        <f t="shared" si="1"/>
        <v>0.91160434999999995</v>
      </c>
      <c r="AC11" s="6">
        <f t="shared" si="2"/>
        <v>3.4954999999999998</v>
      </c>
    </row>
    <row r="12" spans="1:29">
      <c r="A12" t="s">
        <v>98</v>
      </c>
      <c r="B12" t="s">
        <v>99</v>
      </c>
      <c r="C12" s="3">
        <v>43510</v>
      </c>
      <c r="D12">
        <v>2019</v>
      </c>
      <c r="E12">
        <v>2</v>
      </c>
      <c r="F12" t="s">
        <v>37</v>
      </c>
      <c r="G12" s="4">
        <v>28.525613</v>
      </c>
      <c r="H12" s="4">
        <v>170</v>
      </c>
      <c r="I12" s="5">
        <v>3790</v>
      </c>
      <c r="J12" s="5">
        <v>122</v>
      </c>
      <c r="K12" t="s">
        <v>38</v>
      </c>
      <c r="L12" t="s">
        <v>38</v>
      </c>
      <c r="M12" t="s">
        <v>61</v>
      </c>
      <c r="N12" t="s">
        <v>61</v>
      </c>
      <c r="O12" t="s">
        <v>73</v>
      </c>
      <c r="P12" t="s">
        <v>74</v>
      </c>
      <c r="Q12" t="s">
        <v>42</v>
      </c>
      <c r="R12" t="s">
        <v>43</v>
      </c>
      <c r="S12" s="5">
        <v>0</v>
      </c>
      <c r="T12" s="5">
        <v>0</v>
      </c>
      <c r="U12" t="s">
        <v>44</v>
      </c>
      <c r="V12" t="s">
        <v>100</v>
      </c>
      <c r="W12" s="5">
        <v>91</v>
      </c>
      <c r="X12" s="4">
        <v>85.84</v>
      </c>
      <c r="Y12" s="4">
        <v>316.06</v>
      </c>
      <c r="Z12" s="4">
        <v>401.9</v>
      </c>
      <c r="AA12" s="4">
        <f t="shared" si="0"/>
        <v>7.5265469656992083</v>
      </c>
      <c r="AB12" s="6">
        <f t="shared" si="1"/>
        <v>0.16779772352941177</v>
      </c>
      <c r="AC12" s="6">
        <f t="shared" si="2"/>
        <v>2.3641176470588232</v>
      </c>
    </row>
    <row r="13" spans="1:29">
      <c r="A13" t="s">
        <v>101</v>
      </c>
      <c r="B13" t="s">
        <v>102</v>
      </c>
      <c r="C13" s="3">
        <v>43518</v>
      </c>
      <c r="D13">
        <v>2019</v>
      </c>
      <c r="E13">
        <v>2</v>
      </c>
      <c r="F13" t="s">
        <v>37</v>
      </c>
      <c r="G13" s="4">
        <v>2.1614800000000001</v>
      </c>
      <c r="H13" s="4">
        <v>1.5</v>
      </c>
      <c r="I13" s="5">
        <v>853</v>
      </c>
      <c r="J13" s="5">
        <v>101</v>
      </c>
      <c r="K13" t="s">
        <v>48</v>
      </c>
      <c r="L13" t="s">
        <v>49</v>
      </c>
      <c r="M13" t="s">
        <v>50</v>
      </c>
      <c r="N13" t="s">
        <v>50</v>
      </c>
      <c r="O13" t="s">
        <v>103</v>
      </c>
      <c r="P13" t="s">
        <v>56</v>
      </c>
      <c r="Q13" t="s">
        <v>42</v>
      </c>
      <c r="R13" t="s">
        <v>43</v>
      </c>
      <c r="S13" s="5">
        <v>0</v>
      </c>
      <c r="T13" s="5">
        <v>0</v>
      </c>
      <c r="U13" t="s">
        <v>44</v>
      </c>
      <c r="V13" t="s">
        <v>104</v>
      </c>
      <c r="W13" s="5">
        <v>83</v>
      </c>
      <c r="X13" s="4">
        <v>6.42</v>
      </c>
      <c r="Y13" s="4"/>
      <c r="Z13" s="4"/>
      <c r="AA13" s="4">
        <f t="shared" si="0"/>
        <v>2.5339742086752639</v>
      </c>
      <c r="AB13" s="6">
        <f t="shared" si="1"/>
        <v>1.4409866666666666</v>
      </c>
      <c r="AC13" s="6" t="str">
        <f t="shared" si="2"/>
        <v/>
      </c>
    </row>
    <row r="14" spans="1:29">
      <c r="A14" t="s">
        <v>105</v>
      </c>
      <c r="B14" t="s">
        <v>106</v>
      </c>
      <c r="C14" s="3">
        <v>43532</v>
      </c>
      <c r="D14">
        <v>2019</v>
      </c>
      <c r="E14">
        <v>3</v>
      </c>
      <c r="F14" t="s">
        <v>37</v>
      </c>
      <c r="G14" s="4">
        <v>153.433423</v>
      </c>
      <c r="H14" s="4">
        <v>175</v>
      </c>
      <c r="I14" s="5">
        <v>4310</v>
      </c>
      <c r="J14" s="5">
        <v>124</v>
      </c>
      <c r="K14" t="s">
        <v>38</v>
      </c>
      <c r="L14" t="s">
        <v>38</v>
      </c>
      <c r="M14" t="s">
        <v>61</v>
      </c>
      <c r="N14" t="s">
        <v>61</v>
      </c>
      <c r="O14" t="s">
        <v>107</v>
      </c>
      <c r="P14" t="s">
        <v>74</v>
      </c>
      <c r="Q14" t="s">
        <v>42</v>
      </c>
      <c r="R14" t="s">
        <v>43</v>
      </c>
      <c r="S14" s="5">
        <v>0</v>
      </c>
      <c r="T14" s="5">
        <v>0</v>
      </c>
      <c r="U14" t="s">
        <v>44</v>
      </c>
      <c r="V14" t="s">
        <v>108</v>
      </c>
      <c r="W14" s="5">
        <v>45</v>
      </c>
      <c r="X14" s="4">
        <v>426.83</v>
      </c>
      <c r="Y14" s="4">
        <v>702.75</v>
      </c>
      <c r="Z14" s="4">
        <v>1129.58</v>
      </c>
      <c r="AA14" s="4">
        <f t="shared" si="0"/>
        <v>35.599402088167054</v>
      </c>
      <c r="AB14" s="6">
        <f t="shared" si="1"/>
        <v>0.87676241714285719</v>
      </c>
      <c r="AC14" s="6">
        <f t="shared" si="2"/>
        <v>6.4547428571428567</v>
      </c>
    </row>
    <row r="15" spans="1:29">
      <c r="A15" t="s">
        <v>109</v>
      </c>
      <c r="B15" t="s">
        <v>110</v>
      </c>
      <c r="C15" s="3">
        <v>43539</v>
      </c>
      <c r="D15">
        <v>2019</v>
      </c>
      <c r="E15">
        <v>3</v>
      </c>
      <c r="F15" t="s">
        <v>37</v>
      </c>
      <c r="G15" s="4">
        <v>3.1315249999999999</v>
      </c>
      <c r="H15" s="4">
        <v>25</v>
      </c>
      <c r="I15" s="5">
        <v>2548</v>
      </c>
      <c r="J15" s="5">
        <v>109</v>
      </c>
      <c r="K15" t="s">
        <v>38</v>
      </c>
      <c r="L15" t="s">
        <v>38</v>
      </c>
      <c r="M15" t="s">
        <v>54</v>
      </c>
      <c r="N15" t="s">
        <v>54</v>
      </c>
      <c r="O15" t="s">
        <v>111</v>
      </c>
      <c r="P15" t="s">
        <v>68</v>
      </c>
      <c r="Q15" t="s">
        <v>42</v>
      </c>
      <c r="R15" t="s">
        <v>43</v>
      </c>
      <c r="S15" s="5">
        <v>0</v>
      </c>
      <c r="T15" s="5">
        <v>0</v>
      </c>
      <c r="U15" t="s">
        <v>44</v>
      </c>
      <c r="V15" t="s">
        <v>112</v>
      </c>
      <c r="W15" s="5">
        <v>40</v>
      </c>
      <c r="X15" s="4">
        <v>5.96</v>
      </c>
      <c r="Y15" s="4">
        <v>3.4</v>
      </c>
      <c r="Z15" s="4">
        <v>9.36</v>
      </c>
      <c r="AA15" s="4">
        <f t="shared" si="0"/>
        <v>1.2290129513343799</v>
      </c>
      <c r="AB15" s="6">
        <f t="shared" si="1"/>
        <v>0.12526099999999998</v>
      </c>
      <c r="AC15" s="6">
        <f t="shared" si="2"/>
        <v>0.37439999999999996</v>
      </c>
    </row>
    <row r="16" spans="1:29">
      <c r="A16" t="s">
        <v>113</v>
      </c>
      <c r="B16" t="s">
        <v>114</v>
      </c>
      <c r="C16" s="3">
        <v>43539</v>
      </c>
      <c r="D16">
        <v>2019</v>
      </c>
      <c r="E16">
        <v>3</v>
      </c>
      <c r="F16" t="s">
        <v>37</v>
      </c>
      <c r="G16" s="4">
        <v>13.190286</v>
      </c>
      <c r="H16" s="4">
        <v>7</v>
      </c>
      <c r="I16" s="5">
        <v>2803</v>
      </c>
      <c r="J16" s="5">
        <v>116</v>
      </c>
      <c r="K16" t="s">
        <v>38</v>
      </c>
      <c r="L16" t="s">
        <v>38</v>
      </c>
      <c r="M16" t="s">
        <v>50</v>
      </c>
      <c r="N16" t="s">
        <v>50</v>
      </c>
      <c r="O16" t="s">
        <v>84</v>
      </c>
      <c r="P16" t="s">
        <v>84</v>
      </c>
      <c r="Q16" t="s">
        <v>42</v>
      </c>
      <c r="R16" t="s">
        <v>43</v>
      </c>
      <c r="S16" s="5">
        <v>0</v>
      </c>
      <c r="T16" s="5">
        <v>0</v>
      </c>
      <c r="U16" t="s">
        <v>44</v>
      </c>
      <c r="V16" t="s">
        <v>115</v>
      </c>
      <c r="W16" s="5">
        <v>79</v>
      </c>
      <c r="X16" s="4">
        <v>45.73</v>
      </c>
      <c r="Y16" s="4">
        <v>46.82</v>
      </c>
      <c r="Z16" s="4">
        <v>92.55</v>
      </c>
      <c r="AA16" s="4">
        <f t="shared" si="0"/>
        <v>4.7057745272921867</v>
      </c>
      <c r="AB16" s="6">
        <f t="shared" si="1"/>
        <v>1.8843265714285715</v>
      </c>
      <c r="AC16" s="6">
        <f t="shared" si="2"/>
        <v>13.221428571428572</v>
      </c>
    </row>
    <row r="17" spans="1:29">
      <c r="A17" t="s">
        <v>116</v>
      </c>
      <c r="B17" t="s">
        <v>117</v>
      </c>
      <c r="C17" s="3">
        <v>43539</v>
      </c>
      <c r="D17">
        <v>2019</v>
      </c>
      <c r="E17">
        <v>3</v>
      </c>
      <c r="F17" t="s">
        <v>37</v>
      </c>
      <c r="G17" s="4">
        <v>71.117625000000004</v>
      </c>
      <c r="H17" s="4">
        <v>4.5</v>
      </c>
      <c r="I17" s="5">
        <v>3741</v>
      </c>
      <c r="J17" s="5">
        <v>116</v>
      </c>
      <c r="K17" t="s">
        <v>83</v>
      </c>
      <c r="L17" t="s">
        <v>83</v>
      </c>
      <c r="M17" t="s">
        <v>39</v>
      </c>
      <c r="N17" t="s">
        <v>39</v>
      </c>
      <c r="O17" t="s">
        <v>68</v>
      </c>
      <c r="P17" t="s">
        <v>68</v>
      </c>
      <c r="Q17" t="s">
        <v>42</v>
      </c>
      <c r="R17" t="s">
        <v>43</v>
      </c>
      <c r="S17" s="5">
        <v>0</v>
      </c>
      <c r="T17" s="5">
        <v>0</v>
      </c>
      <c r="U17" t="s">
        <v>44</v>
      </c>
      <c r="V17" t="s">
        <v>118</v>
      </c>
      <c r="W17" s="5">
        <v>61</v>
      </c>
      <c r="X17" s="4">
        <v>175.08</v>
      </c>
      <c r="Y17" s="4">
        <v>80.540000000000006</v>
      </c>
      <c r="Z17" s="4">
        <v>255.62</v>
      </c>
      <c r="AA17" s="4">
        <f t="shared" si="0"/>
        <v>19.010324779470729</v>
      </c>
      <c r="AB17" s="6">
        <f t="shared" si="1"/>
        <v>15.803916666666668</v>
      </c>
      <c r="AC17" s="6">
        <f t="shared" si="2"/>
        <v>56.804444444444442</v>
      </c>
    </row>
    <row r="18" spans="1:29">
      <c r="A18" t="s">
        <v>119</v>
      </c>
      <c r="B18" t="s">
        <v>120</v>
      </c>
      <c r="C18" s="3">
        <v>43539</v>
      </c>
      <c r="D18">
        <v>2019</v>
      </c>
      <c r="E18">
        <v>3</v>
      </c>
      <c r="F18" t="s">
        <v>37</v>
      </c>
      <c r="G18" s="4">
        <v>15.853645999999999</v>
      </c>
      <c r="H18" s="4">
        <v>100</v>
      </c>
      <c r="I18" s="5">
        <v>3838</v>
      </c>
      <c r="J18" s="5">
        <v>93</v>
      </c>
      <c r="K18" t="s">
        <v>48</v>
      </c>
      <c r="L18" t="s">
        <v>49</v>
      </c>
      <c r="M18" t="s">
        <v>72</v>
      </c>
      <c r="N18" t="s">
        <v>72</v>
      </c>
      <c r="O18" t="s">
        <v>95</v>
      </c>
      <c r="P18" t="s">
        <v>96</v>
      </c>
      <c r="Q18" t="s">
        <v>121</v>
      </c>
      <c r="R18" t="s">
        <v>64</v>
      </c>
      <c r="S18" s="5">
        <v>0</v>
      </c>
      <c r="T18" s="5">
        <v>0</v>
      </c>
      <c r="U18" t="s">
        <v>44</v>
      </c>
      <c r="V18" t="s">
        <v>122</v>
      </c>
      <c r="W18" s="5">
        <v>43</v>
      </c>
      <c r="X18" s="4">
        <v>45.22</v>
      </c>
      <c r="Y18" s="4">
        <v>69.89</v>
      </c>
      <c r="Z18" s="4">
        <v>115.1</v>
      </c>
      <c r="AA18" s="4">
        <f t="shared" si="0"/>
        <v>4.1307050547159978</v>
      </c>
      <c r="AB18" s="6">
        <f t="shared" si="1"/>
        <v>0.15853645999999999</v>
      </c>
      <c r="AC18" s="6">
        <f t="shared" si="2"/>
        <v>1.151</v>
      </c>
    </row>
    <row r="19" spans="1:29">
      <c r="A19" t="s">
        <v>123</v>
      </c>
      <c r="B19" t="s">
        <v>124</v>
      </c>
      <c r="C19" s="3">
        <v>43553</v>
      </c>
      <c r="D19">
        <v>2019</v>
      </c>
      <c r="E19">
        <v>3</v>
      </c>
      <c r="F19" t="s">
        <v>37</v>
      </c>
      <c r="G19" s="4">
        <v>45.990748000000004</v>
      </c>
      <c r="H19" s="4">
        <v>170</v>
      </c>
      <c r="I19" s="5">
        <v>4259</v>
      </c>
      <c r="J19" s="5">
        <v>130</v>
      </c>
      <c r="K19" t="s">
        <v>48</v>
      </c>
      <c r="L19" t="s">
        <v>49</v>
      </c>
      <c r="M19" t="s">
        <v>72</v>
      </c>
      <c r="N19" t="s">
        <v>72</v>
      </c>
      <c r="O19" t="s">
        <v>107</v>
      </c>
      <c r="P19" t="s">
        <v>74</v>
      </c>
      <c r="Q19" t="s">
        <v>42</v>
      </c>
      <c r="R19" t="s">
        <v>43</v>
      </c>
      <c r="S19" s="5">
        <v>0</v>
      </c>
      <c r="T19" s="5">
        <v>0</v>
      </c>
      <c r="U19" t="s">
        <v>44</v>
      </c>
      <c r="V19" t="s">
        <v>125</v>
      </c>
      <c r="W19" s="5">
        <v>47</v>
      </c>
      <c r="X19" s="4">
        <v>114.77</v>
      </c>
      <c r="Y19" s="4">
        <v>238.4</v>
      </c>
      <c r="Z19" s="4">
        <v>353.17</v>
      </c>
      <c r="AA19" s="4">
        <f t="shared" si="0"/>
        <v>10.798485090396808</v>
      </c>
      <c r="AB19" s="6">
        <f t="shared" si="1"/>
        <v>0.27053381176470592</v>
      </c>
      <c r="AC19" s="6">
        <f t="shared" si="2"/>
        <v>2.0774705882352942</v>
      </c>
    </row>
    <row r="20" spans="1:29">
      <c r="A20" t="s">
        <v>126</v>
      </c>
      <c r="B20" t="s">
        <v>127</v>
      </c>
      <c r="C20" s="3">
        <v>43553</v>
      </c>
      <c r="D20">
        <v>2019</v>
      </c>
      <c r="E20">
        <v>3</v>
      </c>
      <c r="F20" t="s">
        <v>37</v>
      </c>
      <c r="G20" s="4">
        <v>1.7630699999999999</v>
      </c>
      <c r="H20" s="4">
        <v>5</v>
      </c>
      <c r="I20" s="5">
        <v>1100</v>
      </c>
      <c r="J20" s="5">
        <v>95</v>
      </c>
      <c r="K20" t="s">
        <v>83</v>
      </c>
      <c r="L20" t="s">
        <v>83</v>
      </c>
      <c r="M20" t="s">
        <v>94</v>
      </c>
      <c r="N20" t="s">
        <v>94</v>
      </c>
      <c r="O20" t="s">
        <v>128</v>
      </c>
      <c r="P20" t="s">
        <v>56</v>
      </c>
      <c r="Q20" t="s">
        <v>42</v>
      </c>
      <c r="R20" t="s">
        <v>43</v>
      </c>
      <c r="S20" s="5">
        <v>0</v>
      </c>
      <c r="T20" s="5">
        <v>0</v>
      </c>
      <c r="U20" t="s">
        <v>44</v>
      </c>
      <c r="V20" t="s">
        <v>129</v>
      </c>
      <c r="W20" s="5">
        <v>42</v>
      </c>
      <c r="X20" s="4">
        <v>3.5</v>
      </c>
      <c r="Y20" s="4">
        <v>0.77</v>
      </c>
      <c r="Z20" s="4">
        <v>4.2699999999999996</v>
      </c>
      <c r="AA20" s="4">
        <f t="shared" si="0"/>
        <v>1.6027909090909089</v>
      </c>
      <c r="AB20" s="6">
        <f t="shared" si="1"/>
        <v>0.35261399999999998</v>
      </c>
      <c r="AC20" s="6">
        <f t="shared" si="2"/>
        <v>0.85399999999999987</v>
      </c>
    </row>
    <row r="21" spans="1:29">
      <c r="A21" t="s">
        <v>130</v>
      </c>
      <c r="B21" t="s">
        <v>131</v>
      </c>
      <c r="C21" s="3">
        <v>43553</v>
      </c>
      <c r="D21">
        <v>2019</v>
      </c>
      <c r="E21">
        <v>3</v>
      </c>
      <c r="F21" t="s">
        <v>37</v>
      </c>
      <c r="G21" s="4">
        <v>6.3822979999999996</v>
      </c>
      <c r="H21" s="4">
        <v>6</v>
      </c>
      <c r="I21" s="5">
        <v>1059</v>
      </c>
      <c r="J21" s="5">
        <v>110</v>
      </c>
      <c r="K21" t="s">
        <v>83</v>
      </c>
      <c r="L21" t="s">
        <v>83</v>
      </c>
      <c r="M21" t="s">
        <v>50</v>
      </c>
      <c r="N21" t="s">
        <v>50</v>
      </c>
      <c r="O21" t="s">
        <v>132</v>
      </c>
      <c r="P21" t="s">
        <v>56</v>
      </c>
      <c r="Q21" t="s">
        <v>42</v>
      </c>
      <c r="R21" t="s">
        <v>43</v>
      </c>
      <c r="S21" s="5">
        <v>0</v>
      </c>
      <c r="T21" s="5">
        <v>0</v>
      </c>
      <c r="U21" t="s">
        <v>44</v>
      </c>
      <c r="V21" t="s">
        <v>133</v>
      </c>
      <c r="W21" s="5">
        <v>94</v>
      </c>
      <c r="X21" s="4">
        <v>19.010000000000002</v>
      </c>
      <c r="Y21" s="4">
        <v>2.41</v>
      </c>
      <c r="Z21" s="4">
        <v>21.41</v>
      </c>
      <c r="AA21" s="4">
        <f t="shared" si="0"/>
        <v>6.0267214353163361</v>
      </c>
      <c r="AB21" s="6">
        <f t="shared" si="1"/>
        <v>1.0637163333333333</v>
      </c>
      <c r="AC21" s="6">
        <f t="shared" si="2"/>
        <v>3.5683333333333334</v>
      </c>
    </row>
    <row r="22" spans="1:29">
      <c r="A22" t="s">
        <v>134</v>
      </c>
      <c r="B22" t="s">
        <v>135</v>
      </c>
      <c r="C22" s="3">
        <v>43560</v>
      </c>
      <c r="D22">
        <v>2019</v>
      </c>
      <c r="E22">
        <v>4</v>
      </c>
      <c r="F22" t="s">
        <v>136</v>
      </c>
      <c r="G22" s="4">
        <v>24.502775</v>
      </c>
      <c r="H22" s="4">
        <v>21</v>
      </c>
      <c r="I22" s="5">
        <v>3585</v>
      </c>
      <c r="J22" s="5">
        <v>100</v>
      </c>
      <c r="K22" t="s">
        <v>83</v>
      </c>
      <c r="L22" t="s">
        <v>83</v>
      </c>
      <c r="M22" t="s">
        <v>39</v>
      </c>
      <c r="N22" t="s">
        <v>39</v>
      </c>
      <c r="O22" t="s">
        <v>95</v>
      </c>
      <c r="P22" t="s">
        <v>96</v>
      </c>
      <c r="Q22" t="s">
        <v>42</v>
      </c>
      <c r="R22" t="s">
        <v>43</v>
      </c>
      <c r="S22" s="5">
        <v>0</v>
      </c>
      <c r="T22" s="5">
        <v>0</v>
      </c>
      <c r="U22" t="s">
        <v>44</v>
      </c>
      <c r="V22" t="s">
        <v>137</v>
      </c>
      <c r="W22" s="5">
        <v>33</v>
      </c>
      <c r="X22" s="4">
        <v>54.72</v>
      </c>
      <c r="Y22" s="4">
        <v>57.09</v>
      </c>
      <c r="Z22" s="4">
        <v>111.81</v>
      </c>
      <c r="AA22" s="4">
        <f t="shared" si="0"/>
        <v>6.8348047419804745</v>
      </c>
      <c r="AB22" s="6">
        <f t="shared" si="1"/>
        <v>1.1667988095238095</v>
      </c>
      <c r="AC22" s="6">
        <f t="shared" si="2"/>
        <v>5.3242857142857147</v>
      </c>
    </row>
    <row r="23" spans="1:29">
      <c r="A23" t="s">
        <v>138</v>
      </c>
      <c r="B23" t="s">
        <v>139</v>
      </c>
      <c r="C23" s="3">
        <v>43560</v>
      </c>
      <c r="D23">
        <v>2019</v>
      </c>
      <c r="E23">
        <v>4</v>
      </c>
      <c r="F23" t="s">
        <v>136</v>
      </c>
      <c r="G23" s="4">
        <v>53.505325999999997</v>
      </c>
      <c r="H23" s="4">
        <v>85</v>
      </c>
      <c r="I23" s="5">
        <v>4217</v>
      </c>
      <c r="J23" s="5">
        <v>132</v>
      </c>
      <c r="K23" t="s">
        <v>38</v>
      </c>
      <c r="L23" t="s">
        <v>38</v>
      </c>
      <c r="M23" t="s">
        <v>61</v>
      </c>
      <c r="N23" t="s">
        <v>61</v>
      </c>
      <c r="O23" t="s">
        <v>140</v>
      </c>
      <c r="P23" t="s">
        <v>141</v>
      </c>
      <c r="Q23" t="s">
        <v>42</v>
      </c>
      <c r="R23" t="s">
        <v>43</v>
      </c>
      <c r="S23" s="5">
        <v>0</v>
      </c>
      <c r="T23" s="5">
        <v>0</v>
      </c>
      <c r="U23" t="s">
        <v>44</v>
      </c>
      <c r="V23" t="s">
        <v>142</v>
      </c>
      <c r="W23" s="5">
        <v>82</v>
      </c>
      <c r="X23" s="4">
        <v>140.37</v>
      </c>
      <c r="Y23" s="4">
        <v>223.19</v>
      </c>
      <c r="Z23" s="4">
        <v>363.56</v>
      </c>
      <c r="AA23" s="4">
        <f t="shared" si="0"/>
        <v>12.688007114062128</v>
      </c>
      <c r="AB23" s="6">
        <f t="shared" si="1"/>
        <v>0.62947442352941174</v>
      </c>
      <c r="AC23" s="6">
        <f t="shared" si="2"/>
        <v>4.2771764705882349</v>
      </c>
    </row>
    <row r="24" spans="1:29">
      <c r="A24" t="s">
        <v>143</v>
      </c>
      <c r="B24" t="s">
        <v>144</v>
      </c>
      <c r="C24" s="3">
        <v>43567</v>
      </c>
      <c r="D24">
        <v>2019</v>
      </c>
      <c r="E24">
        <v>4</v>
      </c>
      <c r="F24" t="s">
        <v>136</v>
      </c>
      <c r="G24" s="4">
        <v>6.0023489999999997</v>
      </c>
      <c r="H24" s="4">
        <v>14</v>
      </c>
      <c r="I24" s="5">
        <v>2138</v>
      </c>
      <c r="J24" s="5">
        <v>120</v>
      </c>
      <c r="K24" t="s">
        <v>38</v>
      </c>
      <c r="L24" t="s">
        <v>38</v>
      </c>
      <c r="M24" t="s">
        <v>50</v>
      </c>
      <c r="N24" t="s">
        <v>50</v>
      </c>
      <c r="O24" t="s">
        <v>145</v>
      </c>
      <c r="P24" t="s">
        <v>56</v>
      </c>
      <c r="Q24" t="s">
        <v>42</v>
      </c>
      <c r="R24" t="s">
        <v>43</v>
      </c>
      <c r="S24" s="5">
        <v>0</v>
      </c>
      <c r="T24" s="5">
        <v>0</v>
      </c>
      <c r="U24" t="s">
        <v>44</v>
      </c>
      <c r="V24" t="s">
        <v>146</v>
      </c>
      <c r="W24" s="5">
        <v>64</v>
      </c>
      <c r="X24" s="4">
        <v>12.14</v>
      </c>
      <c r="Y24" s="4">
        <v>45.79</v>
      </c>
      <c r="Z24" s="4">
        <v>57.93</v>
      </c>
      <c r="AA24" s="4">
        <f t="shared" si="0"/>
        <v>2.8074597754911133</v>
      </c>
      <c r="AB24" s="6">
        <f t="shared" si="1"/>
        <v>0.42873921428571427</v>
      </c>
      <c r="AC24" s="6">
        <f t="shared" si="2"/>
        <v>4.1378571428571425</v>
      </c>
    </row>
    <row r="25" spans="1:29">
      <c r="A25" t="s">
        <v>147</v>
      </c>
      <c r="B25" t="s">
        <v>148</v>
      </c>
      <c r="C25" s="3">
        <v>43574</v>
      </c>
      <c r="D25">
        <v>2019</v>
      </c>
      <c r="E25">
        <v>4</v>
      </c>
      <c r="F25" t="s">
        <v>136</v>
      </c>
      <c r="G25" s="4">
        <v>26.347631</v>
      </c>
      <c r="H25" s="4">
        <v>9</v>
      </c>
      <c r="I25" s="5">
        <v>3372</v>
      </c>
      <c r="J25" s="5">
        <v>93</v>
      </c>
      <c r="K25" t="s">
        <v>83</v>
      </c>
      <c r="L25" t="s">
        <v>83</v>
      </c>
      <c r="M25" t="s">
        <v>39</v>
      </c>
      <c r="N25" t="s">
        <v>39</v>
      </c>
      <c r="O25" t="s">
        <v>140</v>
      </c>
      <c r="P25" t="s">
        <v>141</v>
      </c>
      <c r="Q25" t="s">
        <v>42</v>
      </c>
      <c r="R25" t="s">
        <v>43</v>
      </c>
      <c r="S25" s="5">
        <v>0</v>
      </c>
      <c r="T25" s="5">
        <v>0</v>
      </c>
      <c r="U25" t="s">
        <v>44</v>
      </c>
      <c r="V25" t="s">
        <v>149</v>
      </c>
      <c r="W25" s="5">
        <v>35</v>
      </c>
      <c r="X25" s="4">
        <v>54.73</v>
      </c>
      <c r="Y25" s="4">
        <v>68.5</v>
      </c>
      <c r="Z25" s="4">
        <v>123.23</v>
      </c>
      <c r="AA25" s="4">
        <f t="shared" si="0"/>
        <v>7.8136509489916968</v>
      </c>
      <c r="AB25" s="6">
        <f t="shared" si="1"/>
        <v>2.9275145555555557</v>
      </c>
      <c r="AC25" s="6">
        <f t="shared" si="2"/>
        <v>13.692222222222222</v>
      </c>
    </row>
    <row r="26" spans="1:29">
      <c r="A26" t="s">
        <v>150</v>
      </c>
      <c r="B26" t="s">
        <v>151</v>
      </c>
      <c r="C26" s="3">
        <v>43581</v>
      </c>
      <c r="D26">
        <v>2019</v>
      </c>
      <c r="E26">
        <v>4</v>
      </c>
      <c r="F26" t="s">
        <v>136</v>
      </c>
      <c r="G26" s="4">
        <v>357.11500699999999</v>
      </c>
      <c r="H26" s="4">
        <v>400</v>
      </c>
      <c r="I26" s="5">
        <v>4662</v>
      </c>
      <c r="J26" s="5">
        <v>181</v>
      </c>
      <c r="K26" t="s">
        <v>38</v>
      </c>
      <c r="L26" t="s">
        <v>38</v>
      </c>
      <c r="M26" t="s">
        <v>61</v>
      </c>
      <c r="N26" t="s">
        <v>61</v>
      </c>
      <c r="O26" t="s">
        <v>107</v>
      </c>
      <c r="P26" t="s">
        <v>74</v>
      </c>
      <c r="Q26" t="s">
        <v>42</v>
      </c>
      <c r="R26" t="s">
        <v>43</v>
      </c>
      <c r="S26" s="5">
        <v>0</v>
      </c>
      <c r="T26" s="5">
        <v>0</v>
      </c>
      <c r="U26" t="s">
        <v>44</v>
      </c>
      <c r="V26" t="s">
        <v>152</v>
      </c>
      <c r="W26" s="5">
        <v>90</v>
      </c>
      <c r="X26" s="4">
        <v>858.37</v>
      </c>
      <c r="Y26" s="4">
        <v>1889.87</v>
      </c>
      <c r="Z26" s="4">
        <v>2748.24</v>
      </c>
      <c r="AA26" s="4">
        <f t="shared" si="0"/>
        <v>76.601245602745593</v>
      </c>
      <c r="AB26" s="6">
        <f t="shared" si="1"/>
        <v>0.89278751749999996</v>
      </c>
      <c r="AC26" s="6">
        <f t="shared" si="2"/>
        <v>6.8705999999999996</v>
      </c>
    </row>
    <row r="27" spans="1:29">
      <c r="A27" t="s">
        <v>153</v>
      </c>
      <c r="B27" t="s">
        <v>154</v>
      </c>
      <c r="C27" s="3">
        <v>43588</v>
      </c>
      <c r="D27">
        <v>2019</v>
      </c>
      <c r="E27">
        <v>5</v>
      </c>
      <c r="F27" t="s">
        <v>136</v>
      </c>
      <c r="G27" s="4">
        <v>9.7400640000000003</v>
      </c>
      <c r="H27" s="4">
        <v>40</v>
      </c>
      <c r="I27" s="5">
        <v>3230</v>
      </c>
      <c r="J27" s="5">
        <v>125</v>
      </c>
      <c r="K27" t="s">
        <v>83</v>
      </c>
      <c r="L27" t="s">
        <v>83</v>
      </c>
      <c r="M27" t="s">
        <v>93</v>
      </c>
      <c r="N27" t="s">
        <v>94</v>
      </c>
      <c r="O27" t="s">
        <v>84</v>
      </c>
      <c r="P27" t="s">
        <v>84</v>
      </c>
      <c r="Q27" t="s">
        <v>42</v>
      </c>
      <c r="R27" t="s">
        <v>43</v>
      </c>
      <c r="S27" s="5">
        <v>1</v>
      </c>
      <c r="T27" s="5">
        <v>0</v>
      </c>
      <c r="U27" t="s">
        <v>44</v>
      </c>
      <c r="V27" t="s">
        <v>155</v>
      </c>
      <c r="W27" s="5">
        <v>74</v>
      </c>
      <c r="X27" s="4">
        <v>30.32</v>
      </c>
      <c r="Y27" s="4">
        <v>23.31</v>
      </c>
      <c r="Z27" s="4">
        <v>53.62</v>
      </c>
      <c r="AA27" s="4">
        <f t="shared" si="0"/>
        <v>3.0154996904024767</v>
      </c>
      <c r="AB27" s="6">
        <f t="shared" si="1"/>
        <v>0.24350160000000001</v>
      </c>
      <c r="AC27" s="6">
        <f t="shared" si="2"/>
        <v>1.3405</v>
      </c>
    </row>
    <row r="28" spans="1:29">
      <c r="A28" t="s">
        <v>156</v>
      </c>
      <c r="B28" t="s">
        <v>157</v>
      </c>
      <c r="C28" s="3">
        <v>43588</v>
      </c>
      <c r="D28">
        <v>2019</v>
      </c>
      <c r="E28">
        <v>5</v>
      </c>
      <c r="F28" t="s">
        <v>136</v>
      </c>
      <c r="G28" s="4">
        <v>10.855054000000001</v>
      </c>
      <c r="H28" s="4">
        <v>8</v>
      </c>
      <c r="I28" s="5">
        <v>2222</v>
      </c>
      <c r="J28" s="5">
        <v>102</v>
      </c>
      <c r="K28" t="s">
        <v>38</v>
      </c>
      <c r="L28" t="s">
        <v>38</v>
      </c>
      <c r="M28" t="s">
        <v>54</v>
      </c>
      <c r="N28" t="s">
        <v>54</v>
      </c>
      <c r="O28" t="s">
        <v>40</v>
      </c>
      <c r="P28" t="s">
        <v>41</v>
      </c>
      <c r="Q28" t="s">
        <v>42</v>
      </c>
      <c r="R28" t="s">
        <v>43</v>
      </c>
      <c r="S28" s="5">
        <v>1</v>
      </c>
      <c r="T28" s="5">
        <v>0</v>
      </c>
      <c r="U28" t="s">
        <v>44</v>
      </c>
      <c r="V28" t="s">
        <v>158</v>
      </c>
      <c r="W28" s="5">
        <v>67</v>
      </c>
      <c r="X28" s="4">
        <v>35.39</v>
      </c>
      <c r="Y28" s="4">
        <v>5.21</v>
      </c>
      <c r="Z28" s="4">
        <v>40.6</v>
      </c>
      <c r="AA28" s="4">
        <f t="shared" si="0"/>
        <v>4.8852628262826281</v>
      </c>
      <c r="AB28" s="6">
        <f t="shared" si="1"/>
        <v>1.3568817500000001</v>
      </c>
      <c r="AC28" s="6">
        <f t="shared" si="2"/>
        <v>5.0750000000000002</v>
      </c>
    </row>
    <row r="29" spans="1:29">
      <c r="A29" t="s">
        <v>159</v>
      </c>
      <c r="B29" t="s">
        <v>160</v>
      </c>
      <c r="C29" s="3">
        <v>43588</v>
      </c>
      <c r="D29">
        <v>2019</v>
      </c>
      <c r="E29">
        <v>5</v>
      </c>
      <c r="F29" t="s">
        <v>136</v>
      </c>
      <c r="G29" s="4">
        <v>8.6034070000000007</v>
      </c>
      <c r="H29" s="4">
        <v>45</v>
      </c>
      <c r="I29" s="5">
        <v>3652</v>
      </c>
      <c r="J29" s="5">
        <v>87</v>
      </c>
      <c r="K29" t="s">
        <v>48</v>
      </c>
      <c r="L29" t="s">
        <v>49</v>
      </c>
      <c r="M29" t="s">
        <v>72</v>
      </c>
      <c r="N29" t="s">
        <v>72</v>
      </c>
      <c r="O29" t="s">
        <v>161</v>
      </c>
      <c r="P29" t="s">
        <v>56</v>
      </c>
      <c r="Q29" t="s">
        <v>42</v>
      </c>
      <c r="R29" t="s">
        <v>43</v>
      </c>
      <c r="S29" s="5">
        <v>1</v>
      </c>
      <c r="T29" s="5">
        <v>0</v>
      </c>
      <c r="U29" t="s">
        <v>44</v>
      </c>
      <c r="V29" t="s">
        <v>162</v>
      </c>
      <c r="W29" s="5">
        <v>54</v>
      </c>
      <c r="X29" s="4">
        <v>20.149999999999999</v>
      </c>
      <c r="Y29" s="4">
        <v>12.48</v>
      </c>
      <c r="Z29" s="4">
        <v>32.630000000000003</v>
      </c>
      <c r="AA29" s="4">
        <f t="shared" si="0"/>
        <v>2.3558069550931</v>
      </c>
      <c r="AB29" s="6">
        <f t="shared" si="1"/>
        <v>0.19118682222222225</v>
      </c>
      <c r="AC29" s="6">
        <f t="shared" si="2"/>
        <v>0.72511111111111115</v>
      </c>
    </row>
    <row r="30" spans="1:29">
      <c r="A30" t="s">
        <v>163</v>
      </c>
      <c r="B30" t="s">
        <v>164</v>
      </c>
      <c r="C30" s="3">
        <v>43595</v>
      </c>
      <c r="D30">
        <v>2019</v>
      </c>
      <c r="E30">
        <v>5</v>
      </c>
      <c r="F30" t="s">
        <v>136</v>
      </c>
      <c r="G30" s="4">
        <v>54.365242000000002</v>
      </c>
      <c r="H30" s="4">
        <v>150</v>
      </c>
      <c r="I30" s="5">
        <v>4202</v>
      </c>
      <c r="J30" s="5">
        <v>104</v>
      </c>
      <c r="K30" t="s">
        <v>48</v>
      </c>
      <c r="L30" t="s">
        <v>49</v>
      </c>
      <c r="M30" t="s">
        <v>94</v>
      </c>
      <c r="N30" t="s">
        <v>94</v>
      </c>
      <c r="O30" t="s">
        <v>140</v>
      </c>
      <c r="P30" t="s">
        <v>141</v>
      </c>
      <c r="Q30" t="s">
        <v>165</v>
      </c>
      <c r="R30" t="s">
        <v>64</v>
      </c>
      <c r="S30" s="5">
        <v>1</v>
      </c>
      <c r="T30" s="5">
        <v>0</v>
      </c>
      <c r="U30" t="s">
        <v>44</v>
      </c>
      <c r="V30" t="s">
        <v>166</v>
      </c>
      <c r="W30" s="5">
        <v>79</v>
      </c>
      <c r="X30" s="4">
        <v>144.11000000000001</v>
      </c>
      <c r="Y30" s="4">
        <v>284.81</v>
      </c>
      <c r="Z30" s="4">
        <v>428.92</v>
      </c>
      <c r="AA30" s="4">
        <f t="shared" si="0"/>
        <v>12.937944312232272</v>
      </c>
      <c r="AB30" s="6">
        <f t="shared" si="1"/>
        <v>0.3624349466666667</v>
      </c>
      <c r="AC30" s="6">
        <f t="shared" si="2"/>
        <v>2.8594666666666666</v>
      </c>
    </row>
    <row r="31" spans="1:29">
      <c r="A31" t="s">
        <v>167</v>
      </c>
      <c r="B31" t="s">
        <v>168</v>
      </c>
      <c r="C31" s="3">
        <v>43595</v>
      </c>
      <c r="D31">
        <v>2019</v>
      </c>
      <c r="E31">
        <v>5</v>
      </c>
      <c r="F31" t="s">
        <v>136</v>
      </c>
      <c r="G31" s="4">
        <v>5.3619370000000002</v>
      </c>
      <c r="H31" s="4">
        <v>10</v>
      </c>
      <c r="I31" s="5">
        <v>2750</v>
      </c>
      <c r="J31" s="5">
        <v>91</v>
      </c>
      <c r="K31" t="s">
        <v>38</v>
      </c>
      <c r="L31" t="s">
        <v>38</v>
      </c>
      <c r="M31" t="s">
        <v>94</v>
      </c>
      <c r="N31" t="s">
        <v>94</v>
      </c>
      <c r="O31" t="s">
        <v>161</v>
      </c>
      <c r="P31" t="s">
        <v>56</v>
      </c>
      <c r="Q31" t="s">
        <v>42</v>
      </c>
      <c r="R31" t="s">
        <v>43</v>
      </c>
      <c r="S31" s="5">
        <v>1</v>
      </c>
      <c r="T31" s="5">
        <v>0</v>
      </c>
      <c r="U31" t="s">
        <v>44</v>
      </c>
      <c r="V31" t="s">
        <v>169</v>
      </c>
      <c r="W31" s="5">
        <v>72</v>
      </c>
      <c r="X31" s="4">
        <v>13.63</v>
      </c>
      <c r="Y31" s="4">
        <v>4.2699999999999996</v>
      </c>
      <c r="Z31" s="4">
        <v>17.899999999999999</v>
      </c>
      <c r="AA31" s="4">
        <f t="shared" si="0"/>
        <v>1.9497952727272727</v>
      </c>
      <c r="AB31" s="6">
        <f t="shared" si="1"/>
        <v>0.5361937</v>
      </c>
      <c r="AC31" s="6">
        <f t="shared" si="2"/>
        <v>1.7899999999999998</v>
      </c>
    </row>
    <row r="32" spans="1:29">
      <c r="A32" t="s">
        <v>170</v>
      </c>
      <c r="B32" t="s">
        <v>171</v>
      </c>
      <c r="C32" s="3">
        <v>43595</v>
      </c>
      <c r="D32">
        <v>2019</v>
      </c>
      <c r="E32">
        <v>5</v>
      </c>
      <c r="F32" t="s">
        <v>136</v>
      </c>
      <c r="G32" s="4">
        <v>13.007709</v>
      </c>
      <c r="H32" s="4">
        <v>21</v>
      </c>
      <c r="I32" s="5">
        <v>3007</v>
      </c>
      <c r="J32" s="5">
        <v>94</v>
      </c>
      <c r="K32" t="s">
        <v>38</v>
      </c>
      <c r="L32" t="s">
        <v>38</v>
      </c>
      <c r="M32" t="s">
        <v>94</v>
      </c>
      <c r="N32" t="s">
        <v>94</v>
      </c>
      <c r="O32" t="s">
        <v>172</v>
      </c>
      <c r="P32" t="s">
        <v>56</v>
      </c>
      <c r="Q32" t="s">
        <v>42</v>
      </c>
      <c r="R32" t="s">
        <v>43</v>
      </c>
      <c r="S32" s="5">
        <v>1</v>
      </c>
      <c r="T32" s="5">
        <v>0</v>
      </c>
      <c r="U32" t="s">
        <v>44</v>
      </c>
      <c r="V32" t="s">
        <v>173</v>
      </c>
      <c r="W32" s="5">
        <v>44</v>
      </c>
      <c r="X32" s="4">
        <v>35.42</v>
      </c>
      <c r="Y32" s="4">
        <v>61.97</v>
      </c>
      <c r="Z32" s="4">
        <v>97.39</v>
      </c>
      <c r="AA32" s="4">
        <f t="shared" si="0"/>
        <v>4.3258094446291988</v>
      </c>
      <c r="AB32" s="6">
        <f t="shared" si="1"/>
        <v>0.61941471428571426</v>
      </c>
      <c r="AC32" s="6">
        <f t="shared" si="2"/>
        <v>4.6376190476190473</v>
      </c>
    </row>
    <row r="33" spans="1:29">
      <c r="A33" t="s">
        <v>174</v>
      </c>
      <c r="B33" t="s">
        <v>175</v>
      </c>
      <c r="C33" s="3">
        <v>43595</v>
      </c>
      <c r="D33">
        <v>2019</v>
      </c>
      <c r="E33">
        <v>5</v>
      </c>
      <c r="F33" t="s">
        <v>136</v>
      </c>
      <c r="G33" s="4">
        <v>2.2005370000000002</v>
      </c>
      <c r="H33" s="4">
        <v>20</v>
      </c>
      <c r="I33" s="5">
        <v>1495</v>
      </c>
      <c r="J33" s="5">
        <v>111</v>
      </c>
      <c r="K33" t="s">
        <v>38</v>
      </c>
      <c r="L33" t="s">
        <v>38</v>
      </c>
      <c r="M33" t="s">
        <v>50</v>
      </c>
      <c r="N33" t="s">
        <v>50</v>
      </c>
      <c r="O33" t="s">
        <v>176</v>
      </c>
      <c r="P33" t="s">
        <v>56</v>
      </c>
      <c r="Q33" t="s">
        <v>42</v>
      </c>
      <c r="R33" t="s">
        <v>43</v>
      </c>
      <c r="S33" s="5">
        <v>1</v>
      </c>
      <c r="T33" s="5">
        <v>0</v>
      </c>
      <c r="U33" t="s">
        <v>44</v>
      </c>
      <c r="V33" t="s">
        <v>177</v>
      </c>
      <c r="W33" s="5">
        <v>71</v>
      </c>
      <c r="X33" s="4">
        <v>4.54</v>
      </c>
      <c r="Y33" s="4">
        <v>4.43</v>
      </c>
      <c r="Z33" s="4">
        <v>8.9700000000000006</v>
      </c>
      <c r="AA33" s="4">
        <f t="shared" si="0"/>
        <v>1.47193110367893</v>
      </c>
      <c r="AB33" s="6">
        <f t="shared" si="1"/>
        <v>0.11002685000000001</v>
      </c>
      <c r="AC33" s="6">
        <f t="shared" si="2"/>
        <v>0.44850000000000001</v>
      </c>
    </row>
    <row r="34" spans="1:29">
      <c r="A34" t="s">
        <v>178</v>
      </c>
      <c r="B34" t="s">
        <v>179</v>
      </c>
      <c r="C34" s="3">
        <v>43602</v>
      </c>
      <c r="D34">
        <v>2019</v>
      </c>
      <c r="E34">
        <v>5</v>
      </c>
      <c r="F34" t="s">
        <v>136</v>
      </c>
      <c r="G34" s="4">
        <v>56.818066999999999</v>
      </c>
      <c r="H34" s="4">
        <v>75</v>
      </c>
      <c r="I34" s="5">
        <v>3850</v>
      </c>
      <c r="J34" s="5">
        <v>131</v>
      </c>
      <c r="K34" t="s">
        <v>83</v>
      </c>
      <c r="L34" t="s">
        <v>83</v>
      </c>
      <c r="M34" t="s">
        <v>61</v>
      </c>
      <c r="N34" t="s">
        <v>61</v>
      </c>
      <c r="O34" t="s">
        <v>84</v>
      </c>
      <c r="P34" t="s">
        <v>84</v>
      </c>
      <c r="Q34" t="s">
        <v>42</v>
      </c>
      <c r="R34" t="s">
        <v>43</v>
      </c>
      <c r="S34" s="5">
        <v>1</v>
      </c>
      <c r="T34" s="5">
        <v>0</v>
      </c>
      <c r="U34" t="s">
        <v>44</v>
      </c>
      <c r="V34" t="s">
        <v>180</v>
      </c>
      <c r="W34" s="5">
        <v>86</v>
      </c>
      <c r="X34" s="4">
        <v>171.02</v>
      </c>
      <c r="Y34" s="4">
        <v>155.66999999999999</v>
      </c>
      <c r="Z34" s="4">
        <v>326.69</v>
      </c>
      <c r="AA34" s="4">
        <f t="shared" si="0"/>
        <v>14.757939480519481</v>
      </c>
      <c r="AB34" s="6">
        <f t="shared" si="1"/>
        <v>0.75757422666666663</v>
      </c>
      <c r="AC34" s="6">
        <f t="shared" si="2"/>
        <v>4.3558666666666666</v>
      </c>
    </row>
    <row r="35" spans="1:29">
      <c r="A35" t="s">
        <v>181</v>
      </c>
      <c r="B35" t="s">
        <v>182</v>
      </c>
      <c r="C35" s="3">
        <v>43602</v>
      </c>
      <c r="D35">
        <v>2019</v>
      </c>
      <c r="E35">
        <v>5</v>
      </c>
      <c r="F35" t="s">
        <v>136</v>
      </c>
      <c r="G35" s="4">
        <v>2.51153</v>
      </c>
      <c r="H35" s="4">
        <v>9</v>
      </c>
      <c r="I35" s="5">
        <v>2073</v>
      </c>
      <c r="J35" s="5">
        <v>120</v>
      </c>
      <c r="K35" t="s">
        <v>38</v>
      </c>
      <c r="L35" t="s">
        <v>38</v>
      </c>
      <c r="M35" t="s">
        <v>50</v>
      </c>
      <c r="N35" t="s">
        <v>50</v>
      </c>
      <c r="O35" t="s">
        <v>140</v>
      </c>
      <c r="P35" t="s">
        <v>141</v>
      </c>
      <c r="Q35" t="s">
        <v>42</v>
      </c>
      <c r="R35" t="s">
        <v>43</v>
      </c>
      <c r="S35" s="5">
        <v>1</v>
      </c>
      <c r="T35" s="5">
        <v>0</v>
      </c>
      <c r="U35" t="s">
        <v>44</v>
      </c>
      <c r="V35" t="s">
        <v>183</v>
      </c>
      <c r="W35" s="5">
        <v>60</v>
      </c>
      <c r="X35" s="4">
        <v>4.95</v>
      </c>
      <c r="Y35" s="4">
        <v>1.8</v>
      </c>
      <c r="Z35" s="4">
        <v>6.75</v>
      </c>
      <c r="AA35" s="4">
        <f t="shared" si="0"/>
        <v>1.2115436565364208</v>
      </c>
      <c r="AB35" s="6">
        <f t="shared" si="1"/>
        <v>0.27905888888888891</v>
      </c>
      <c r="AC35" s="6">
        <f t="shared" si="2"/>
        <v>0.75</v>
      </c>
    </row>
    <row r="36" spans="1:29">
      <c r="A36" t="s">
        <v>184</v>
      </c>
      <c r="B36" t="s">
        <v>185</v>
      </c>
      <c r="C36" s="3">
        <v>43609</v>
      </c>
      <c r="D36">
        <v>2019</v>
      </c>
      <c r="E36">
        <v>5</v>
      </c>
      <c r="F36" t="s">
        <v>136</v>
      </c>
      <c r="G36" s="4">
        <v>91.500928999999999</v>
      </c>
      <c r="H36" s="4">
        <v>182</v>
      </c>
      <c r="I36" s="5">
        <v>4476</v>
      </c>
      <c r="J36" s="5">
        <v>128</v>
      </c>
      <c r="K36" t="s">
        <v>48</v>
      </c>
      <c r="L36" t="s">
        <v>49</v>
      </c>
      <c r="M36" t="s">
        <v>72</v>
      </c>
      <c r="N36" t="s">
        <v>72</v>
      </c>
      <c r="O36" t="s">
        <v>107</v>
      </c>
      <c r="P36" t="s">
        <v>74</v>
      </c>
      <c r="Q36" t="s">
        <v>186</v>
      </c>
      <c r="R36" t="s">
        <v>64</v>
      </c>
      <c r="S36" s="5">
        <v>1</v>
      </c>
      <c r="T36" s="5">
        <v>0</v>
      </c>
      <c r="U36" t="s">
        <v>44</v>
      </c>
      <c r="V36" t="s">
        <v>187</v>
      </c>
      <c r="W36" s="5">
        <v>94</v>
      </c>
      <c r="X36" s="4">
        <v>355.56</v>
      </c>
      <c r="Y36" s="4">
        <v>691.03</v>
      </c>
      <c r="Z36" s="4">
        <v>1046.5899999999999</v>
      </c>
      <c r="AA36" s="4">
        <f t="shared" si="0"/>
        <v>20.442566800714925</v>
      </c>
      <c r="AB36" s="6">
        <f t="shared" si="1"/>
        <v>0.50275235714285715</v>
      </c>
      <c r="AC36" s="6">
        <f t="shared" si="2"/>
        <v>5.7504945054945047</v>
      </c>
    </row>
    <row r="37" spans="1:29">
      <c r="A37" t="s">
        <v>188</v>
      </c>
      <c r="B37" t="s">
        <v>189</v>
      </c>
      <c r="C37" s="3">
        <v>43609</v>
      </c>
      <c r="D37">
        <v>2019</v>
      </c>
      <c r="E37">
        <v>5</v>
      </c>
      <c r="F37" t="s">
        <v>136</v>
      </c>
      <c r="G37" s="4">
        <v>7.8456580000000002</v>
      </c>
      <c r="H37" s="4">
        <v>7</v>
      </c>
      <c r="I37" s="5">
        <v>2607</v>
      </c>
      <c r="J37" s="5">
        <v>90</v>
      </c>
      <c r="K37" t="s">
        <v>83</v>
      </c>
      <c r="L37" t="s">
        <v>83</v>
      </c>
      <c r="M37" t="s">
        <v>39</v>
      </c>
      <c r="N37" t="s">
        <v>39</v>
      </c>
      <c r="O37" t="s">
        <v>40</v>
      </c>
      <c r="P37" t="s">
        <v>41</v>
      </c>
      <c r="Q37" t="s">
        <v>42</v>
      </c>
      <c r="R37" t="s">
        <v>43</v>
      </c>
      <c r="S37" s="5">
        <v>1</v>
      </c>
      <c r="T37" s="5">
        <v>0</v>
      </c>
      <c r="U37" t="s">
        <v>44</v>
      </c>
      <c r="V37" t="s">
        <v>190</v>
      </c>
      <c r="W37" s="5">
        <v>67</v>
      </c>
      <c r="X37" s="4">
        <v>17.260000000000002</v>
      </c>
      <c r="Y37" s="4">
        <v>15.92</v>
      </c>
      <c r="Z37" s="4">
        <v>33.18</v>
      </c>
      <c r="AA37" s="4">
        <f t="shared" si="0"/>
        <v>3.0094583812811662</v>
      </c>
      <c r="AB37" s="6">
        <f t="shared" si="1"/>
        <v>1.1208082857142858</v>
      </c>
      <c r="AC37" s="6">
        <f t="shared" si="2"/>
        <v>4.74</v>
      </c>
    </row>
    <row r="38" spans="1:29">
      <c r="A38" t="s">
        <v>191</v>
      </c>
      <c r="B38" t="s">
        <v>192</v>
      </c>
      <c r="C38" s="3">
        <v>43616</v>
      </c>
      <c r="D38">
        <v>2019</v>
      </c>
      <c r="E38">
        <v>5</v>
      </c>
      <c r="F38" t="s">
        <v>136</v>
      </c>
      <c r="G38" s="4">
        <v>47.776293000000003</v>
      </c>
      <c r="H38" s="4">
        <v>170</v>
      </c>
      <c r="I38" s="5">
        <v>4108</v>
      </c>
      <c r="J38" s="5">
        <v>132</v>
      </c>
      <c r="K38" t="s">
        <v>38</v>
      </c>
      <c r="L38" t="s">
        <v>38</v>
      </c>
      <c r="M38" t="s">
        <v>61</v>
      </c>
      <c r="N38" t="s">
        <v>61</v>
      </c>
      <c r="O38" t="s">
        <v>140</v>
      </c>
      <c r="P38" t="s">
        <v>141</v>
      </c>
      <c r="Q38" t="s">
        <v>42</v>
      </c>
      <c r="R38" t="s">
        <v>43</v>
      </c>
      <c r="S38" s="5">
        <v>1</v>
      </c>
      <c r="T38" s="5">
        <v>0</v>
      </c>
      <c r="U38" t="s">
        <v>44</v>
      </c>
      <c r="V38" t="s">
        <v>193</v>
      </c>
      <c r="W38" s="5">
        <v>83</v>
      </c>
      <c r="X38" s="4">
        <v>110.5</v>
      </c>
      <c r="Y38" s="4">
        <v>272.8</v>
      </c>
      <c r="Z38" s="4">
        <v>383.3</v>
      </c>
      <c r="AA38" s="4">
        <f t="shared" si="0"/>
        <v>11.630061587147031</v>
      </c>
      <c r="AB38" s="6">
        <f t="shared" si="1"/>
        <v>0.28103701764705885</v>
      </c>
      <c r="AC38" s="6">
        <f t="shared" si="2"/>
        <v>2.2547058823529413</v>
      </c>
    </row>
    <row r="39" spans="1:29">
      <c r="A39" t="s">
        <v>194</v>
      </c>
      <c r="B39" t="s">
        <v>195</v>
      </c>
      <c r="C39" s="3">
        <v>43616</v>
      </c>
      <c r="D39">
        <v>2019</v>
      </c>
      <c r="E39">
        <v>5</v>
      </c>
      <c r="F39" t="s">
        <v>136</v>
      </c>
      <c r="G39" s="4">
        <v>18.099805</v>
      </c>
      <c r="H39" s="4">
        <v>5</v>
      </c>
      <c r="I39" s="5">
        <v>2808</v>
      </c>
      <c r="J39" s="5">
        <v>99</v>
      </c>
      <c r="K39" t="s">
        <v>83</v>
      </c>
      <c r="L39" t="s">
        <v>83</v>
      </c>
      <c r="M39" t="s">
        <v>39</v>
      </c>
      <c r="N39" t="s">
        <v>39</v>
      </c>
      <c r="O39" t="s">
        <v>68</v>
      </c>
      <c r="P39" t="s">
        <v>68</v>
      </c>
      <c r="Q39" t="s">
        <v>42</v>
      </c>
      <c r="R39" t="s">
        <v>43</v>
      </c>
      <c r="S39" s="5">
        <v>1</v>
      </c>
      <c r="T39" s="5">
        <v>0</v>
      </c>
      <c r="U39" t="s">
        <v>44</v>
      </c>
      <c r="V39" t="s">
        <v>196</v>
      </c>
      <c r="W39" s="5">
        <v>64</v>
      </c>
      <c r="X39" s="4">
        <v>45.9</v>
      </c>
      <c r="Y39" s="4">
        <v>15.32</v>
      </c>
      <c r="Z39" s="4">
        <v>61.22</v>
      </c>
      <c r="AA39" s="4">
        <f t="shared" si="0"/>
        <v>6.4457995014245011</v>
      </c>
      <c r="AB39" s="6">
        <f t="shared" si="1"/>
        <v>3.619961</v>
      </c>
      <c r="AC39" s="6">
        <f t="shared" si="2"/>
        <v>12.244</v>
      </c>
    </row>
    <row r="40" spans="1:29">
      <c r="A40" t="s">
        <v>197</v>
      </c>
      <c r="B40" t="s">
        <v>198</v>
      </c>
      <c r="C40" s="3">
        <v>43616</v>
      </c>
      <c r="D40">
        <v>2019</v>
      </c>
      <c r="E40">
        <v>5</v>
      </c>
      <c r="F40" t="s">
        <v>136</v>
      </c>
      <c r="G40" s="4">
        <v>25.725722000000001</v>
      </c>
      <c r="H40" s="4">
        <v>41</v>
      </c>
      <c r="I40" s="5">
        <v>3610</v>
      </c>
      <c r="J40" s="5">
        <v>121</v>
      </c>
      <c r="K40" t="s">
        <v>83</v>
      </c>
      <c r="L40" t="s">
        <v>83</v>
      </c>
      <c r="M40" t="s">
        <v>50</v>
      </c>
      <c r="N40" t="s">
        <v>50</v>
      </c>
      <c r="O40" t="s">
        <v>95</v>
      </c>
      <c r="P40" t="s">
        <v>96</v>
      </c>
      <c r="Q40" t="s">
        <v>199</v>
      </c>
      <c r="R40" t="s">
        <v>64</v>
      </c>
      <c r="S40" s="5">
        <v>1</v>
      </c>
      <c r="T40" s="5">
        <v>0</v>
      </c>
      <c r="U40" t="s">
        <v>44</v>
      </c>
      <c r="V40" t="s">
        <v>200</v>
      </c>
      <c r="W40" s="5">
        <v>88</v>
      </c>
      <c r="X40" s="4">
        <v>96.37</v>
      </c>
      <c r="Y40" s="4">
        <v>94.63</v>
      </c>
      <c r="Z40" s="4">
        <v>191</v>
      </c>
      <c r="AA40" s="4">
        <f t="shared" si="0"/>
        <v>7.1262387811634351</v>
      </c>
      <c r="AB40" s="6">
        <f t="shared" si="1"/>
        <v>0.62745663414634145</v>
      </c>
      <c r="AC40" s="6">
        <f t="shared" si="2"/>
        <v>4.6585365853658534</v>
      </c>
    </row>
    <row r="41" spans="1:29">
      <c r="A41" t="s">
        <v>201</v>
      </c>
      <c r="B41" t="s">
        <v>202</v>
      </c>
      <c r="C41" s="3">
        <v>43623</v>
      </c>
      <c r="D41">
        <v>2019</v>
      </c>
      <c r="E41">
        <v>6</v>
      </c>
      <c r="F41" t="s">
        <v>136</v>
      </c>
      <c r="G41" s="4">
        <v>32.828347999999998</v>
      </c>
      <c r="H41" s="4">
        <v>200</v>
      </c>
      <c r="I41" s="5">
        <v>3721</v>
      </c>
      <c r="J41" s="5">
        <v>114</v>
      </c>
      <c r="K41" t="s">
        <v>38</v>
      </c>
      <c r="L41" t="s">
        <v>38</v>
      </c>
      <c r="M41" t="s">
        <v>61</v>
      </c>
      <c r="N41" t="s">
        <v>61</v>
      </c>
      <c r="O41" t="s">
        <v>73</v>
      </c>
      <c r="P41" t="s">
        <v>74</v>
      </c>
      <c r="Q41" t="s">
        <v>42</v>
      </c>
      <c r="R41" t="s">
        <v>43</v>
      </c>
      <c r="S41" s="5">
        <v>1</v>
      </c>
      <c r="T41" s="5">
        <v>0</v>
      </c>
      <c r="U41" t="s">
        <v>44</v>
      </c>
      <c r="V41" t="s">
        <v>203</v>
      </c>
      <c r="W41" s="5">
        <v>64</v>
      </c>
      <c r="X41" s="4">
        <v>65.849999999999994</v>
      </c>
      <c r="Y41" s="4">
        <v>180.51</v>
      </c>
      <c r="Z41" s="4">
        <v>246.36</v>
      </c>
      <c r="AA41" s="4">
        <f t="shared" si="0"/>
        <v>8.8224531040042997</v>
      </c>
      <c r="AB41" s="6">
        <f t="shared" si="1"/>
        <v>0.16414173999999998</v>
      </c>
      <c r="AC41" s="6">
        <f t="shared" si="2"/>
        <v>1.2318</v>
      </c>
    </row>
    <row r="42" spans="1:29">
      <c r="A42" t="s">
        <v>204</v>
      </c>
      <c r="B42" t="s">
        <v>205</v>
      </c>
      <c r="C42" s="3">
        <v>43623</v>
      </c>
      <c r="D42">
        <v>2019</v>
      </c>
      <c r="E42">
        <v>6</v>
      </c>
      <c r="F42" t="s">
        <v>136</v>
      </c>
      <c r="G42" s="4">
        <v>46.652679999999997</v>
      </c>
      <c r="H42" s="4">
        <v>80</v>
      </c>
      <c r="I42" s="5">
        <v>4561</v>
      </c>
      <c r="J42" s="5">
        <v>92</v>
      </c>
      <c r="K42" t="s">
        <v>48</v>
      </c>
      <c r="L42" t="s">
        <v>49</v>
      </c>
      <c r="M42" t="s">
        <v>72</v>
      </c>
      <c r="N42" t="s">
        <v>72</v>
      </c>
      <c r="O42" t="s">
        <v>68</v>
      </c>
      <c r="P42" t="s">
        <v>68</v>
      </c>
      <c r="Q42" t="s">
        <v>42</v>
      </c>
      <c r="R42" t="s">
        <v>43</v>
      </c>
      <c r="S42" s="5">
        <v>1</v>
      </c>
      <c r="T42" s="5">
        <v>0</v>
      </c>
      <c r="U42" t="s">
        <v>44</v>
      </c>
      <c r="V42" t="s">
        <v>206</v>
      </c>
      <c r="W42" s="5">
        <v>90</v>
      </c>
      <c r="X42" s="4">
        <v>159.21</v>
      </c>
      <c r="Y42" s="4">
        <v>287.24</v>
      </c>
      <c r="Z42" s="4">
        <v>446.45</v>
      </c>
      <c r="AA42" s="4">
        <f t="shared" si="0"/>
        <v>10.22860776145582</v>
      </c>
      <c r="AB42" s="6">
        <f t="shared" si="1"/>
        <v>0.58315849999999991</v>
      </c>
      <c r="AC42" s="6">
        <f t="shared" si="2"/>
        <v>5.5806249999999995</v>
      </c>
    </row>
    <row r="43" spans="1:29">
      <c r="A43" t="s">
        <v>207</v>
      </c>
      <c r="B43" t="s">
        <v>208</v>
      </c>
      <c r="C43" s="3">
        <v>43630</v>
      </c>
      <c r="D43">
        <v>2019</v>
      </c>
      <c r="E43">
        <v>6</v>
      </c>
      <c r="F43" t="s">
        <v>136</v>
      </c>
      <c r="G43" s="4">
        <v>30.035837999999998</v>
      </c>
      <c r="H43" s="4">
        <v>110</v>
      </c>
      <c r="I43" s="5">
        <v>4224</v>
      </c>
      <c r="J43" s="5">
        <v>118</v>
      </c>
      <c r="K43" t="s">
        <v>38</v>
      </c>
      <c r="L43" t="s">
        <v>38</v>
      </c>
      <c r="M43" t="s">
        <v>72</v>
      </c>
      <c r="N43" t="s">
        <v>72</v>
      </c>
      <c r="O43" t="s">
        <v>40</v>
      </c>
      <c r="P43" t="s">
        <v>41</v>
      </c>
      <c r="Q43" t="s">
        <v>42</v>
      </c>
      <c r="R43" t="s">
        <v>43</v>
      </c>
      <c r="S43" s="5">
        <v>1</v>
      </c>
      <c r="T43" s="5">
        <v>0</v>
      </c>
      <c r="U43" t="s">
        <v>44</v>
      </c>
      <c r="V43" t="s">
        <v>209</v>
      </c>
      <c r="W43" s="5">
        <v>66</v>
      </c>
      <c r="X43" s="4">
        <v>80</v>
      </c>
      <c r="Y43" s="4">
        <v>174.31</v>
      </c>
      <c r="Z43" s="4">
        <v>254.31</v>
      </c>
      <c r="AA43" s="4">
        <f t="shared" si="0"/>
        <v>7.1107571022727276</v>
      </c>
      <c r="AB43" s="6">
        <f t="shared" si="1"/>
        <v>0.27305307272727269</v>
      </c>
      <c r="AC43" s="6">
        <f t="shared" si="2"/>
        <v>2.3119090909090909</v>
      </c>
    </row>
    <row r="44" spans="1:29">
      <c r="A44" t="s">
        <v>210</v>
      </c>
      <c r="B44" t="s">
        <v>211</v>
      </c>
      <c r="C44" s="3">
        <v>43630</v>
      </c>
      <c r="D44">
        <v>2019</v>
      </c>
      <c r="E44">
        <v>6</v>
      </c>
      <c r="F44" t="s">
        <v>136</v>
      </c>
      <c r="G44" s="4">
        <v>8.9014190000000006</v>
      </c>
      <c r="H44" s="4">
        <v>30</v>
      </c>
      <c r="I44" s="5">
        <v>2952</v>
      </c>
      <c r="J44" s="5">
        <v>105</v>
      </c>
      <c r="K44" t="s">
        <v>83</v>
      </c>
      <c r="L44" t="s">
        <v>83</v>
      </c>
      <c r="M44" t="s">
        <v>94</v>
      </c>
      <c r="N44" t="s">
        <v>94</v>
      </c>
      <c r="O44" t="s">
        <v>140</v>
      </c>
      <c r="P44" t="s">
        <v>141</v>
      </c>
      <c r="Q44" t="s">
        <v>42</v>
      </c>
      <c r="R44" t="s">
        <v>43</v>
      </c>
      <c r="S44" s="5">
        <v>1</v>
      </c>
      <c r="T44" s="5">
        <v>0</v>
      </c>
      <c r="U44" t="s">
        <v>44</v>
      </c>
      <c r="V44" t="s">
        <v>212</v>
      </c>
      <c r="W44" s="5">
        <v>94</v>
      </c>
      <c r="X44" s="4">
        <v>21.36</v>
      </c>
      <c r="Y44" s="4"/>
      <c r="Z44" s="4"/>
      <c r="AA44" s="4">
        <f t="shared" si="0"/>
        <v>3.0153858401084008</v>
      </c>
      <c r="AB44" s="6">
        <f t="shared" si="1"/>
        <v>0.29671396666666666</v>
      </c>
      <c r="AC44" s="6" t="str">
        <f t="shared" si="2"/>
        <v/>
      </c>
    </row>
    <row r="45" spans="1:29">
      <c r="A45" t="s">
        <v>213</v>
      </c>
      <c r="B45" t="s">
        <v>214</v>
      </c>
      <c r="C45" s="3">
        <v>43637</v>
      </c>
      <c r="D45">
        <v>2019</v>
      </c>
      <c r="E45">
        <v>6</v>
      </c>
      <c r="F45" t="s">
        <v>136</v>
      </c>
      <c r="G45" s="4">
        <v>3.6006469999999999</v>
      </c>
      <c r="H45" s="4">
        <v>30</v>
      </c>
      <c r="I45" s="5">
        <v>2114</v>
      </c>
      <c r="J45" s="5">
        <v>118</v>
      </c>
      <c r="K45" t="s">
        <v>83</v>
      </c>
      <c r="L45" t="s">
        <v>83</v>
      </c>
      <c r="M45" t="s">
        <v>61</v>
      </c>
      <c r="N45" t="s">
        <v>61</v>
      </c>
      <c r="O45" t="s">
        <v>84</v>
      </c>
      <c r="P45" t="s">
        <v>84</v>
      </c>
      <c r="Q45" t="s">
        <v>215</v>
      </c>
      <c r="R45" t="s">
        <v>64</v>
      </c>
      <c r="S45" s="5">
        <v>1</v>
      </c>
      <c r="T45" s="5">
        <v>0</v>
      </c>
      <c r="U45" t="s">
        <v>57</v>
      </c>
      <c r="V45" t="s">
        <v>216</v>
      </c>
      <c r="W45" s="5"/>
      <c r="X45" s="4"/>
      <c r="Y45" s="4"/>
      <c r="Z45" s="4"/>
      <c r="AA45" s="4">
        <f t="shared" si="0"/>
        <v>1.7032388836329233</v>
      </c>
      <c r="AB45" s="6">
        <f t="shared" si="1"/>
        <v>0.12002156666666666</v>
      </c>
      <c r="AC45" s="6" t="str">
        <f t="shared" si="2"/>
        <v/>
      </c>
    </row>
    <row r="46" spans="1:29">
      <c r="A46" t="s">
        <v>217</v>
      </c>
      <c r="B46" t="s">
        <v>218</v>
      </c>
      <c r="C46" s="3">
        <v>43642</v>
      </c>
      <c r="D46">
        <v>2019</v>
      </c>
      <c r="E46">
        <v>6</v>
      </c>
      <c r="F46" t="s">
        <v>136</v>
      </c>
      <c r="G46" s="4">
        <v>20.269722999999999</v>
      </c>
      <c r="H46" s="4">
        <v>27</v>
      </c>
      <c r="I46" s="5">
        <v>3613</v>
      </c>
      <c r="J46" s="5">
        <v>106</v>
      </c>
      <c r="K46" t="s">
        <v>83</v>
      </c>
      <c r="L46" t="s">
        <v>83</v>
      </c>
      <c r="M46" t="s">
        <v>39</v>
      </c>
      <c r="N46" t="s">
        <v>39</v>
      </c>
      <c r="O46" t="s">
        <v>140</v>
      </c>
      <c r="P46" t="s">
        <v>141</v>
      </c>
      <c r="Q46" t="s">
        <v>42</v>
      </c>
      <c r="R46" t="s">
        <v>43</v>
      </c>
      <c r="S46" s="5">
        <v>1</v>
      </c>
      <c r="T46" s="5">
        <v>0</v>
      </c>
      <c r="U46" t="s">
        <v>44</v>
      </c>
      <c r="V46" t="s">
        <v>219</v>
      </c>
      <c r="W46" s="5">
        <v>70</v>
      </c>
      <c r="X46" s="4">
        <v>74.150000000000006</v>
      </c>
      <c r="Y46" s="4">
        <v>157.1</v>
      </c>
      <c r="Z46" s="4">
        <v>231.25</v>
      </c>
      <c r="AA46" s="4">
        <f t="shared" si="0"/>
        <v>5.6102194851923608</v>
      </c>
      <c r="AB46" s="6">
        <f t="shared" si="1"/>
        <v>0.75073048148148147</v>
      </c>
      <c r="AC46" s="6">
        <f t="shared" si="2"/>
        <v>8.5648148148148149</v>
      </c>
    </row>
    <row r="47" spans="1:29">
      <c r="A47" t="s">
        <v>220</v>
      </c>
      <c r="B47" t="s">
        <v>221</v>
      </c>
      <c r="C47" s="3">
        <v>43648</v>
      </c>
      <c r="D47">
        <v>2019</v>
      </c>
      <c r="E47">
        <v>7</v>
      </c>
      <c r="F47" t="s">
        <v>222</v>
      </c>
      <c r="G47" s="4">
        <v>92.579211999999998</v>
      </c>
      <c r="H47" s="4">
        <v>160</v>
      </c>
      <c r="I47" s="5">
        <v>4634</v>
      </c>
      <c r="J47" s="5">
        <v>129</v>
      </c>
      <c r="K47" t="s">
        <v>38</v>
      </c>
      <c r="L47" t="s">
        <v>38</v>
      </c>
      <c r="M47" t="s">
        <v>61</v>
      </c>
      <c r="N47" t="s">
        <v>61</v>
      </c>
      <c r="O47" t="s">
        <v>40</v>
      </c>
      <c r="P47" t="s">
        <v>41</v>
      </c>
      <c r="Q47" t="s">
        <v>42</v>
      </c>
      <c r="R47" t="s">
        <v>43</v>
      </c>
      <c r="S47" s="5">
        <v>1</v>
      </c>
      <c r="T47" s="5">
        <v>0</v>
      </c>
      <c r="U47" t="s">
        <v>44</v>
      </c>
      <c r="V47" t="s">
        <v>223</v>
      </c>
      <c r="W47" s="5">
        <v>95</v>
      </c>
      <c r="X47" s="4">
        <v>391.36</v>
      </c>
      <c r="Y47" s="4">
        <v>740.94</v>
      </c>
      <c r="Z47" s="4">
        <v>1132.3</v>
      </c>
      <c r="AA47" s="4">
        <f t="shared" si="0"/>
        <v>19.978250323694432</v>
      </c>
      <c r="AB47" s="6">
        <f t="shared" si="1"/>
        <v>0.57862007500000001</v>
      </c>
      <c r="AC47" s="6">
        <f t="shared" si="2"/>
        <v>7.0768749999999994</v>
      </c>
    </row>
    <row r="48" spans="1:29">
      <c r="A48" t="s">
        <v>224</v>
      </c>
      <c r="B48" t="s">
        <v>225</v>
      </c>
      <c r="C48" s="3">
        <v>43649</v>
      </c>
      <c r="D48">
        <v>2019</v>
      </c>
      <c r="E48">
        <v>7</v>
      </c>
      <c r="F48" t="s">
        <v>222</v>
      </c>
      <c r="G48" s="4">
        <v>6.5600300000000002</v>
      </c>
      <c r="H48" s="4">
        <v>9</v>
      </c>
      <c r="I48" s="5">
        <v>2707</v>
      </c>
      <c r="J48" s="5">
        <v>147</v>
      </c>
      <c r="K48" t="s">
        <v>83</v>
      </c>
      <c r="L48" t="s">
        <v>83</v>
      </c>
      <c r="M48" t="s">
        <v>39</v>
      </c>
      <c r="N48" t="s">
        <v>39</v>
      </c>
      <c r="O48" t="s">
        <v>226</v>
      </c>
      <c r="P48" t="s">
        <v>56</v>
      </c>
      <c r="Q48" t="s">
        <v>227</v>
      </c>
      <c r="R48" t="s">
        <v>64</v>
      </c>
      <c r="S48" s="5">
        <v>1</v>
      </c>
      <c r="T48" s="5">
        <v>0</v>
      </c>
      <c r="U48" t="s">
        <v>44</v>
      </c>
      <c r="V48" t="s">
        <v>228</v>
      </c>
      <c r="W48" s="5">
        <v>63</v>
      </c>
      <c r="X48" s="4">
        <v>27.43</v>
      </c>
      <c r="Y48" s="4">
        <v>19.29</v>
      </c>
      <c r="Z48" s="4">
        <v>46.71</v>
      </c>
      <c r="AA48" s="4">
        <f t="shared" si="0"/>
        <v>2.4233579608422611</v>
      </c>
      <c r="AB48" s="6">
        <f t="shared" si="1"/>
        <v>0.72889222222222227</v>
      </c>
      <c r="AC48" s="6">
        <f t="shared" si="2"/>
        <v>5.19</v>
      </c>
    </row>
    <row r="49" spans="1:29">
      <c r="A49" t="s">
        <v>229</v>
      </c>
      <c r="B49" t="s">
        <v>230</v>
      </c>
      <c r="C49" s="3">
        <v>43658</v>
      </c>
      <c r="D49">
        <v>2019</v>
      </c>
      <c r="E49">
        <v>7</v>
      </c>
      <c r="F49" t="s">
        <v>222</v>
      </c>
      <c r="G49" s="4">
        <v>12.00521</v>
      </c>
      <c r="H49" s="4">
        <v>17</v>
      </c>
      <c r="I49" s="5">
        <v>3170</v>
      </c>
      <c r="J49" s="5">
        <v>87</v>
      </c>
      <c r="K49" t="s">
        <v>83</v>
      </c>
      <c r="L49" t="s">
        <v>83</v>
      </c>
      <c r="M49" t="s">
        <v>39</v>
      </c>
      <c r="N49" t="s">
        <v>39</v>
      </c>
      <c r="O49" t="s">
        <v>95</v>
      </c>
      <c r="P49" t="s">
        <v>96</v>
      </c>
      <c r="Q49" t="s">
        <v>42</v>
      </c>
      <c r="R49" t="s">
        <v>43</v>
      </c>
      <c r="S49" s="5">
        <v>1</v>
      </c>
      <c r="T49" s="5">
        <v>0</v>
      </c>
      <c r="U49" t="s">
        <v>44</v>
      </c>
      <c r="V49" t="s">
        <v>231</v>
      </c>
      <c r="W49" s="5">
        <v>75</v>
      </c>
      <c r="X49" s="4">
        <v>39.01</v>
      </c>
      <c r="Y49" s="4">
        <v>52.71</v>
      </c>
      <c r="Z49" s="4">
        <v>91.72</v>
      </c>
      <c r="AA49" s="4">
        <f t="shared" si="0"/>
        <v>3.7871324921135643</v>
      </c>
      <c r="AB49" s="6">
        <f t="shared" si="1"/>
        <v>0.70618882352941181</v>
      </c>
      <c r="AC49" s="6">
        <f t="shared" si="2"/>
        <v>5.395294117647059</v>
      </c>
    </row>
    <row r="50" spans="1:29">
      <c r="A50" t="s">
        <v>232</v>
      </c>
      <c r="B50" t="s">
        <v>233</v>
      </c>
      <c r="C50" s="3">
        <v>43658</v>
      </c>
      <c r="D50">
        <v>2019</v>
      </c>
      <c r="E50">
        <v>7</v>
      </c>
      <c r="F50" t="s">
        <v>222</v>
      </c>
      <c r="G50" s="4">
        <v>8.225384</v>
      </c>
      <c r="H50" s="4">
        <v>16</v>
      </c>
      <c r="I50" s="5">
        <v>3050</v>
      </c>
      <c r="J50" s="5">
        <v>105</v>
      </c>
      <c r="K50" t="s">
        <v>83</v>
      </c>
      <c r="L50" t="s">
        <v>83</v>
      </c>
      <c r="M50" t="s">
        <v>94</v>
      </c>
      <c r="N50" t="s">
        <v>94</v>
      </c>
      <c r="O50" t="s">
        <v>73</v>
      </c>
      <c r="P50" t="s">
        <v>74</v>
      </c>
      <c r="Q50" t="s">
        <v>42</v>
      </c>
      <c r="R50" t="s">
        <v>43</v>
      </c>
      <c r="S50" s="5">
        <v>1</v>
      </c>
      <c r="T50" s="5">
        <v>0</v>
      </c>
      <c r="U50" t="s">
        <v>44</v>
      </c>
      <c r="V50" t="s">
        <v>234</v>
      </c>
      <c r="W50" s="5">
        <v>79</v>
      </c>
      <c r="X50" s="4">
        <v>22.37</v>
      </c>
      <c r="Y50" s="4">
        <v>7.26</v>
      </c>
      <c r="Z50" s="4">
        <v>29.63</v>
      </c>
      <c r="AA50" s="4">
        <f t="shared" si="0"/>
        <v>2.6968472131147543</v>
      </c>
      <c r="AB50" s="6">
        <f t="shared" si="1"/>
        <v>0.5140865</v>
      </c>
      <c r="AC50" s="6">
        <f t="shared" si="2"/>
        <v>1.8518749999999999</v>
      </c>
    </row>
    <row r="51" spans="1:29">
      <c r="A51" t="s">
        <v>235</v>
      </c>
      <c r="B51" t="s">
        <v>236</v>
      </c>
      <c r="C51" s="3">
        <v>43665</v>
      </c>
      <c r="D51">
        <v>2019</v>
      </c>
      <c r="E51">
        <v>7</v>
      </c>
      <c r="F51" t="s">
        <v>222</v>
      </c>
      <c r="G51" s="4">
        <v>191.770759</v>
      </c>
      <c r="H51" s="4">
        <v>260</v>
      </c>
      <c r="I51" s="5">
        <v>4725</v>
      </c>
      <c r="J51" s="5">
        <v>118</v>
      </c>
      <c r="K51" t="s">
        <v>48</v>
      </c>
      <c r="L51" t="s">
        <v>49</v>
      </c>
      <c r="M51" t="s">
        <v>72</v>
      </c>
      <c r="N51" t="s">
        <v>72</v>
      </c>
      <c r="O51" t="s">
        <v>107</v>
      </c>
      <c r="P51" t="s">
        <v>74</v>
      </c>
      <c r="Q51" t="s">
        <v>42</v>
      </c>
      <c r="R51" t="s">
        <v>43</v>
      </c>
      <c r="S51" s="5">
        <v>1</v>
      </c>
      <c r="T51" s="5">
        <v>0</v>
      </c>
      <c r="U51" t="s">
        <v>44</v>
      </c>
      <c r="V51" t="s">
        <v>237</v>
      </c>
      <c r="W51" s="5">
        <v>88</v>
      </c>
      <c r="X51" s="4">
        <v>543.64</v>
      </c>
      <c r="Y51" s="4">
        <v>1117.82</v>
      </c>
      <c r="Z51" s="4">
        <v>1661.45</v>
      </c>
      <c r="AA51" s="4">
        <f t="shared" si="0"/>
        <v>40.586404021164022</v>
      </c>
      <c r="AB51" s="6">
        <f t="shared" si="1"/>
        <v>0.73757984230769225</v>
      </c>
      <c r="AC51" s="6">
        <f t="shared" si="2"/>
        <v>6.3901923076923079</v>
      </c>
    </row>
    <row r="52" spans="1:29">
      <c r="A52" t="s">
        <v>238</v>
      </c>
      <c r="B52" t="s">
        <v>239</v>
      </c>
      <c r="C52" s="3">
        <v>43686</v>
      </c>
      <c r="D52">
        <v>2019</v>
      </c>
      <c r="E52">
        <v>8</v>
      </c>
      <c r="F52" t="s">
        <v>222</v>
      </c>
      <c r="G52" s="4">
        <v>2.156272</v>
      </c>
      <c r="H52" s="4">
        <v>10</v>
      </c>
      <c r="I52" s="5">
        <v>1240</v>
      </c>
      <c r="J52" s="5">
        <v>99</v>
      </c>
      <c r="K52" t="s">
        <v>38</v>
      </c>
      <c r="L52" t="s">
        <v>38</v>
      </c>
      <c r="M52" t="s">
        <v>50</v>
      </c>
      <c r="N52" t="s">
        <v>50</v>
      </c>
      <c r="O52" t="s">
        <v>240</v>
      </c>
      <c r="P52" t="s">
        <v>56</v>
      </c>
      <c r="Q52" t="s">
        <v>42</v>
      </c>
      <c r="R52" t="s">
        <v>43</v>
      </c>
      <c r="S52" s="5">
        <v>0</v>
      </c>
      <c r="T52" s="5">
        <v>0</v>
      </c>
      <c r="U52" t="s">
        <v>44</v>
      </c>
      <c r="V52" t="s">
        <v>241</v>
      </c>
      <c r="W52" s="5">
        <v>97</v>
      </c>
      <c r="X52" s="4">
        <v>4.38</v>
      </c>
      <c r="Y52" s="4"/>
      <c r="Z52" s="4"/>
      <c r="AA52" s="4">
        <f t="shared" si="0"/>
        <v>1.7389290322580644</v>
      </c>
      <c r="AB52" s="6">
        <f t="shared" si="1"/>
        <v>0.21562719999999999</v>
      </c>
      <c r="AC52" s="6" t="str">
        <f t="shared" si="2"/>
        <v/>
      </c>
    </row>
    <row r="53" spans="1:29">
      <c r="A53" t="s">
        <v>242</v>
      </c>
      <c r="B53" t="s">
        <v>243</v>
      </c>
      <c r="C53" s="3">
        <v>43686</v>
      </c>
      <c r="D53">
        <v>2019</v>
      </c>
      <c r="E53">
        <v>8</v>
      </c>
      <c r="F53" t="s">
        <v>222</v>
      </c>
      <c r="G53" s="4">
        <v>17.431588000000001</v>
      </c>
      <c r="H53" s="4">
        <v>49</v>
      </c>
      <c r="I53" s="5">
        <v>3735</v>
      </c>
      <c r="J53" s="5">
        <v>102</v>
      </c>
      <c r="K53" t="s">
        <v>48</v>
      </c>
      <c r="L53" t="s">
        <v>49</v>
      </c>
      <c r="M53" t="s">
        <v>72</v>
      </c>
      <c r="N53" t="s">
        <v>72</v>
      </c>
      <c r="O53" t="s">
        <v>95</v>
      </c>
      <c r="P53" t="s">
        <v>96</v>
      </c>
      <c r="Q53" t="s">
        <v>244</v>
      </c>
      <c r="R53" t="s">
        <v>64</v>
      </c>
      <c r="S53" s="5">
        <v>0</v>
      </c>
      <c r="T53" s="5">
        <v>0</v>
      </c>
      <c r="U53" t="s">
        <v>44</v>
      </c>
      <c r="V53" t="s">
        <v>245</v>
      </c>
      <c r="W53" s="5">
        <v>88</v>
      </c>
      <c r="X53" s="4">
        <v>60.48</v>
      </c>
      <c r="Y53" s="4">
        <v>60.11</v>
      </c>
      <c r="Z53" s="4">
        <v>120.59</v>
      </c>
      <c r="AA53" s="4">
        <f t="shared" si="0"/>
        <v>4.6670918340026777</v>
      </c>
      <c r="AB53" s="6">
        <f t="shared" si="1"/>
        <v>0.35574669387755103</v>
      </c>
      <c r="AC53" s="6">
        <f t="shared" si="2"/>
        <v>2.4610204081632654</v>
      </c>
    </row>
    <row r="54" spans="1:29">
      <c r="A54" t="s">
        <v>246</v>
      </c>
      <c r="B54" t="s">
        <v>247</v>
      </c>
      <c r="C54" s="3">
        <v>43686</v>
      </c>
      <c r="D54">
        <v>2019</v>
      </c>
      <c r="E54">
        <v>8</v>
      </c>
      <c r="F54" t="s">
        <v>222</v>
      </c>
      <c r="G54" s="4">
        <v>20.915346</v>
      </c>
      <c r="H54" s="4">
        <v>28</v>
      </c>
      <c r="I54" s="5">
        <v>3135</v>
      </c>
      <c r="J54" s="5">
        <v>111</v>
      </c>
      <c r="K54" t="s">
        <v>38</v>
      </c>
      <c r="L54" t="s">
        <v>38</v>
      </c>
      <c r="M54" t="s">
        <v>39</v>
      </c>
      <c r="N54" t="s">
        <v>39</v>
      </c>
      <c r="O54" t="s">
        <v>84</v>
      </c>
      <c r="P54" t="s">
        <v>84</v>
      </c>
      <c r="Q54" t="s">
        <v>248</v>
      </c>
      <c r="R54" t="s">
        <v>64</v>
      </c>
      <c r="S54" s="5">
        <v>0</v>
      </c>
      <c r="T54" s="5">
        <v>0</v>
      </c>
      <c r="U54" t="s">
        <v>44</v>
      </c>
      <c r="V54" t="s">
        <v>249</v>
      </c>
      <c r="W54" s="5">
        <v>72</v>
      </c>
      <c r="X54" s="4">
        <v>68.95</v>
      </c>
      <c r="Y54" s="4">
        <v>35.85</v>
      </c>
      <c r="Z54" s="4">
        <v>104.79</v>
      </c>
      <c r="AA54" s="4">
        <f t="shared" si="0"/>
        <v>6.6715617224880379</v>
      </c>
      <c r="AB54" s="6">
        <f t="shared" si="1"/>
        <v>0.74697664285714283</v>
      </c>
      <c r="AC54" s="6">
        <f t="shared" si="2"/>
        <v>3.7425000000000002</v>
      </c>
    </row>
    <row r="55" spans="1:29">
      <c r="A55" t="s">
        <v>250</v>
      </c>
      <c r="B55" t="s">
        <v>251</v>
      </c>
      <c r="C55" s="3">
        <v>43686</v>
      </c>
      <c r="D55">
        <v>2019</v>
      </c>
      <c r="E55">
        <v>8</v>
      </c>
      <c r="F55" t="s">
        <v>222</v>
      </c>
      <c r="G55" s="4">
        <v>8.1375840000000004</v>
      </c>
      <c r="H55" s="4">
        <v>18</v>
      </c>
      <c r="I55" s="5">
        <v>2765</v>
      </c>
      <c r="J55" s="5">
        <v>109</v>
      </c>
      <c r="K55" t="s">
        <v>48</v>
      </c>
      <c r="L55" t="s">
        <v>49</v>
      </c>
      <c r="M55" t="s">
        <v>50</v>
      </c>
      <c r="N55" t="s">
        <v>50</v>
      </c>
      <c r="O55" t="s">
        <v>73</v>
      </c>
      <c r="P55" t="s">
        <v>74</v>
      </c>
      <c r="Q55" t="s">
        <v>42</v>
      </c>
      <c r="R55" t="s">
        <v>43</v>
      </c>
      <c r="S55" s="5">
        <v>0</v>
      </c>
      <c r="T55" s="5">
        <v>0</v>
      </c>
      <c r="U55" t="s">
        <v>44</v>
      </c>
      <c r="V55" t="s">
        <v>252</v>
      </c>
      <c r="W55" s="5">
        <v>96</v>
      </c>
      <c r="X55" s="4">
        <v>26.4</v>
      </c>
      <c r="Y55" s="4">
        <v>7.37</v>
      </c>
      <c r="Z55" s="4">
        <v>33.770000000000003</v>
      </c>
      <c r="AA55" s="4">
        <f t="shared" si="0"/>
        <v>2.94306835443038</v>
      </c>
      <c r="AB55" s="6">
        <f t="shared" si="1"/>
        <v>0.45208800000000005</v>
      </c>
      <c r="AC55" s="6">
        <f t="shared" si="2"/>
        <v>1.8761111111111113</v>
      </c>
    </row>
    <row r="56" spans="1:29">
      <c r="A56" t="s">
        <v>253</v>
      </c>
      <c r="B56" t="s">
        <v>254</v>
      </c>
      <c r="C56" s="3">
        <v>43690</v>
      </c>
      <c r="D56">
        <v>2019</v>
      </c>
      <c r="E56">
        <v>8</v>
      </c>
      <c r="F56" t="s">
        <v>222</v>
      </c>
      <c r="G56" s="4">
        <v>10.354073</v>
      </c>
      <c r="H56" s="4">
        <v>65</v>
      </c>
      <c r="I56" s="5">
        <v>3869</v>
      </c>
      <c r="J56" s="5">
        <v>96</v>
      </c>
      <c r="K56" t="s">
        <v>48</v>
      </c>
      <c r="L56" t="s">
        <v>49</v>
      </c>
      <c r="M56" t="s">
        <v>72</v>
      </c>
      <c r="N56" t="s">
        <v>72</v>
      </c>
      <c r="O56" t="s">
        <v>40</v>
      </c>
      <c r="P56" t="s">
        <v>41</v>
      </c>
      <c r="Q56" t="s">
        <v>255</v>
      </c>
      <c r="R56" t="s">
        <v>64</v>
      </c>
      <c r="S56" s="5">
        <v>0</v>
      </c>
      <c r="T56" s="5">
        <v>0</v>
      </c>
      <c r="U56" t="s">
        <v>44</v>
      </c>
      <c r="V56" t="s">
        <v>256</v>
      </c>
      <c r="W56" s="5">
        <v>84</v>
      </c>
      <c r="X56" s="4">
        <v>41.66</v>
      </c>
      <c r="Y56" s="4">
        <v>110.6</v>
      </c>
      <c r="Z56" s="4">
        <v>152.26</v>
      </c>
      <c r="AA56" s="4">
        <f t="shared" si="0"/>
        <v>2.676162574308607</v>
      </c>
      <c r="AB56" s="6">
        <f t="shared" si="1"/>
        <v>0.15929343076923078</v>
      </c>
      <c r="AC56" s="6">
        <f t="shared" si="2"/>
        <v>2.3424615384615382</v>
      </c>
    </row>
    <row r="57" spans="1:29">
      <c r="A57" t="s">
        <v>257</v>
      </c>
      <c r="B57" t="s">
        <v>258</v>
      </c>
      <c r="C57" s="3">
        <v>43693</v>
      </c>
      <c r="D57">
        <v>2019</v>
      </c>
      <c r="E57">
        <v>8</v>
      </c>
      <c r="F57" t="s">
        <v>222</v>
      </c>
      <c r="G57" s="4">
        <v>8.4272650000000002</v>
      </c>
      <c r="H57" s="4">
        <v>12</v>
      </c>
      <c r="I57" s="5">
        <v>2853</v>
      </c>
      <c r="J57" s="5">
        <v>89</v>
      </c>
      <c r="K57" t="s">
        <v>38</v>
      </c>
      <c r="L57" t="s">
        <v>38</v>
      </c>
      <c r="M57" t="s">
        <v>54</v>
      </c>
      <c r="N57" t="s">
        <v>54</v>
      </c>
      <c r="O57" t="s">
        <v>55</v>
      </c>
      <c r="P57" t="s">
        <v>56</v>
      </c>
      <c r="Q57" t="s">
        <v>199</v>
      </c>
      <c r="R57" t="s">
        <v>64</v>
      </c>
      <c r="S57" s="5">
        <v>0</v>
      </c>
      <c r="T57" s="5">
        <v>0</v>
      </c>
      <c r="U57" t="s">
        <v>44</v>
      </c>
      <c r="V57" t="s">
        <v>259</v>
      </c>
      <c r="W57" s="5">
        <v>68</v>
      </c>
      <c r="X57" s="4">
        <v>22.26</v>
      </c>
      <c r="Y57" s="4">
        <v>25.32</v>
      </c>
      <c r="Z57" s="4">
        <v>47.58</v>
      </c>
      <c r="AA57" s="4">
        <f t="shared" si="0"/>
        <v>2.953825797406239</v>
      </c>
      <c r="AB57" s="6">
        <f t="shared" si="1"/>
        <v>0.70227208333333335</v>
      </c>
      <c r="AC57" s="6">
        <f t="shared" si="2"/>
        <v>3.9649999999999999</v>
      </c>
    </row>
    <row r="58" spans="1:29">
      <c r="A58" t="s">
        <v>260</v>
      </c>
      <c r="B58" t="s">
        <v>261</v>
      </c>
      <c r="C58" s="3">
        <v>43693</v>
      </c>
      <c r="D58">
        <v>2019</v>
      </c>
      <c r="E58">
        <v>8</v>
      </c>
      <c r="F58" t="s">
        <v>222</v>
      </c>
      <c r="G58" s="4">
        <v>21.402605000000001</v>
      </c>
      <c r="H58" s="4">
        <v>20</v>
      </c>
      <c r="I58" s="5">
        <v>3204</v>
      </c>
      <c r="J58" s="5">
        <v>100</v>
      </c>
      <c r="K58" t="s">
        <v>83</v>
      </c>
      <c r="L58" t="s">
        <v>83</v>
      </c>
      <c r="M58" t="s">
        <v>94</v>
      </c>
      <c r="N58" t="s">
        <v>94</v>
      </c>
      <c r="O58" t="s">
        <v>68</v>
      </c>
      <c r="P58" t="s">
        <v>68</v>
      </c>
      <c r="Q58" t="s">
        <v>42</v>
      </c>
      <c r="R58" t="s">
        <v>43</v>
      </c>
      <c r="S58" s="5">
        <v>0</v>
      </c>
      <c r="T58" s="5">
        <v>0</v>
      </c>
      <c r="U58" t="s">
        <v>44</v>
      </c>
      <c r="V58" t="s">
        <v>262</v>
      </c>
      <c r="W58" s="5">
        <v>86</v>
      </c>
      <c r="X58" s="4">
        <v>83.14</v>
      </c>
      <c r="Y58" s="4">
        <v>28.03</v>
      </c>
      <c r="Z58" s="4">
        <v>111.17</v>
      </c>
      <c r="AA58" s="4">
        <f t="shared" si="0"/>
        <v>6.6799641073657927</v>
      </c>
      <c r="AB58" s="6">
        <f t="shared" si="1"/>
        <v>1.0701302500000001</v>
      </c>
      <c r="AC58" s="6">
        <f t="shared" si="2"/>
        <v>5.5585000000000004</v>
      </c>
    </row>
    <row r="59" spans="1:29">
      <c r="A59" t="s">
        <v>263</v>
      </c>
      <c r="B59" t="s">
        <v>264</v>
      </c>
      <c r="C59" s="3">
        <v>43693</v>
      </c>
      <c r="D59">
        <v>2019</v>
      </c>
      <c r="E59">
        <v>8</v>
      </c>
      <c r="F59" t="s">
        <v>222</v>
      </c>
      <c r="G59" s="4">
        <v>3.4623080000000002</v>
      </c>
      <c r="H59" s="4">
        <v>20</v>
      </c>
      <c r="I59" s="5">
        <v>2404</v>
      </c>
      <c r="J59" s="5">
        <v>104</v>
      </c>
      <c r="K59" t="s">
        <v>38</v>
      </c>
      <c r="L59" t="s">
        <v>38</v>
      </c>
      <c r="M59" t="s">
        <v>94</v>
      </c>
      <c r="N59" t="s">
        <v>94</v>
      </c>
      <c r="O59" t="s">
        <v>172</v>
      </c>
      <c r="P59" t="s">
        <v>56</v>
      </c>
      <c r="Q59" t="s">
        <v>42</v>
      </c>
      <c r="R59" t="s">
        <v>43</v>
      </c>
      <c r="S59" s="5">
        <v>0</v>
      </c>
      <c r="T59" s="5">
        <v>0</v>
      </c>
      <c r="U59" t="s">
        <v>44</v>
      </c>
      <c r="V59" t="s">
        <v>265</v>
      </c>
      <c r="W59" s="5">
        <v>74</v>
      </c>
      <c r="X59" s="4">
        <v>9.1999999999999993</v>
      </c>
      <c r="Y59" s="4">
        <v>1.65</v>
      </c>
      <c r="Z59" s="4">
        <v>10.84</v>
      </c>
      <c r="AA59" s="4">
        <f t="shared" si="0"/>
        <v>1.4402279534109816</v>
      </c>
      <c r="AB59" s="6">
        <f t="shared" si="1"/>
        <v>0.1731154</v>
      </c>
      <c r="AC59" s="6">
        <f t="shared" si="2"/>
        <v>0.54200000000000004</v>
      </c>
    </row>
    <row r="60" spans="1:29">
      <c r="A60" t="s">
        <v>266</v>
      </c>
      <c r="B60" t="s">
        <v>267</v>
      </c>
      <c r="C60" s="3">
        <v>43698</v>
      </c>
      <c r="D60">
        <v>2019</v>
      </c>
      <c r="E60">
        <v>8</v>
      </c>
      <c r="F60" t="s">
        <v>222</v>
      </c>
      <c r="G60" s="4">
        <v>8.0155899999999995</v>
      </c>
      <c r="H60" s="4">
        <v>6</v>
      </c>
      <c r="I60" s="5">
        <v>2855</v>
      </c>
      <c r="J60" s="5">
        <v>95</v>
      </c>
      <c r="K60" t="s">
        <v>83</v>
      </c>
      <c r="L60" t="s">
        <v>83</v>
      </c>
      <c r="M60" t="s">
        <v>268</v>
      </c>
      <c r="N60" t="s">
        <v>94</v>
      </c>
      <c r="O60" t="s">
        <v>176</v>
      </c>
      <c r="P60" t="s">
        <v>56</v>
      </c>
      <c r="Q60" t="s">
        <v>42</v>
      </c>
      <c r="R60" t="s">
        <v>43</v>
      </c>
      <c r="S60" s="5">
        <v>0</v>
      </c>
      <c r="T60" s="5">
        <v>0</v>
      </c>
      <c r="U60" t="s">
        <v>44</v>
      </c>
      <c r="V60" t="s">
        <v>269</v>
      </c>
      <c r="W60" s="5">
        <v>78</v>
      </c>
      <c r="X60" s="4">
        <v>28.71</v>
      </c>
      <c r="Y60" s="4">
        <v>27.99</v>
      </c>
      <c r="Z60" s="4">
        <v>56.7</v>
      </c>
      <c r="AA60" s="4">
        <f t="shared" si="0"/>
        <v>2.8075621716287213</v>
      </c>
      <c r="AB60" s="6">
        <f t="shared" si="1"/>
        <v>1.3359316666666665</v>
      </c>
      <c r="AC60" s="6">
        <f t="shared" si="2"/>
        <v>9.4500000000000011</v>
      </c>
    </row>
    <row r="61" spans="1:29">
      <c r="A61" t="s">
        <v>270</v>
      </c>
      <c r="B61" t="s">
        <v>271</v>
      </c>
      <c r="C61" s="3">
        <v>43700</v>
      </c>
      <c r="D61">
        <v>2019</v>
      </c>
      <c r="E61">
        <v>8</v>
      </c>
      <c r="F61" t="s">
        <v>222</v>
      </c>
      <c r="G61" s="4">
        <v>21.380987000000001</v>
      </c>
      <c r="H61" s="4">
        <v>40</v>
      </c>
      <c r="I61" s="5">
        <v>3286</v>
      </c>
      <c r="J61" s="5">
        <v>114</v>
      </c>
      <c r="K61" t="s">
        <v>83</v>
      </c>
      <c r="L61" t="s">
        <v>83</v>
      </c>
      <c r="M61" t="s">
        <v>54</v>
      </c>
      <c r="N61" t="s">
        <v>54</v>
      </c>
      <c r="O61" t="s">
        <v>84</v>
      </c>
      <c r="P61" t="s">
        <v>84</v>
      </c>
      <c r="Q61" t="s">
        <v>42</v>
      </c>
      <c r="R61" t="s">
        <v>43</v>
      </c>
      <c r="S61" s="5">
        <v>0</v>
      </c>
      <c r="T61" s="5">
        <v>0</v>
      </c>
      <c r="U61" t="s">
        <v>44</v>
      </c>
      <c r="V61" t="s">
        <v>272</v>
      </c>
      <c r="W61" s="5">
        <v>93</v>
      </c>
      <c r="X61" s="4">
        <v>69.03</v>
      </c>
      <c r="Y61" s="4">
        <v>64.319999999999993</v>
      </c>
      <c r="Z61" s="4">
        <v>133.35</v>
      </c>
      <c r="AA61" s="4">
        <f t="shared" si="0"/>
        <v>6.5066911138161903</v>
      </c>
      <c r="AB61" s="6">
        <f t="shared" si="1"/>
        <v>0.534524675</v>
      </c>
      <c r="AC61" s="6">
        <f t="shared" si="2"/>
        <v>3.3337499999999998</v>
      </c>
    </row>
    <row r="62" spans="1:29">
      <c r="A62" t="s">
        <v>273</v>
      </c>
      <c r="B62" t="s">
        <v>274</v>
      </c>
      <c r="C62" s="3">
        <v>43700</v>
      </c>
      <c r="D62">
        <v>2019</v>
      </c>
      <c r="E62">
        <v>8</v>
      </c>
      <c r="F62" t="s">
        <v>222</v>
      </c>
      <c r="G62" s="4">
        <v>8.1465329999999998</v>
      </c>
      <c r="H62" s="4">
        <v>5</v>
      </c>
      <c r="I62" s="5">
        <v>1723</v>
      </c>
      <c r="J62" s="5">
        <v>115</v>
      </c>
      <c r="K62" t="s">
        <v>48</v>
      </c>
      <c r="L62" t="s">
        <v>49</v>
      </c>
      <c r="M62" t="s">
        <v>50</v>
      </c>
      <c r="N62" t="s">
        <v>50</v>
      </c>
      <c r="O62" t="s">
        <v>40</v>
      </c>
      <c r="P62" t="s">
        <v>41</v>
      </c>
      <c r="Q62" t="s">
        <v>42</v>
      </c>
      <c r="R62" t="s">
        <v>43</v>
      </c>
      <c r="S62" s="5">
        <v>0</v>
      </c>
      <c r="T62" s="5">
        <v>0</v>
      </c>
      <c r="U62" t="s">
        <v>44</v>
      </c>
      <c r="V62" t="s">
        <v>275</v>
      </c>
      <c r="W62" s="5">
        <v>98</v>
      </c>
      <c r="X62" s="4">
        <v>34.700000000000003</v>
      </c>
      <c r="Y62" s="4">
        <v>3.39</v>
      </c>
      <c r="Z62" s="4">
        <v>38.090000000000003</v>
      </c>
      <c r="AA62" s="4">
        <f t="shared" si="0"/>
        <v>4.7281096923969814</v>
      </c>
      <c r="AB62" s="6">
        <f t="shared" si="1"/>
        <v>1.6293066</v>
      </c>
      <c r="AC62" s="6">
        <f t="shared" si="2"/>
        <v>7.6180000000000003</v>
      </c>
    </row>
    <row r="63" spans="1:29">
      <c r="A63" t="s">
        <v>276</v>
      </c>
      <c r="B63" t="s">
        <v>277</v>
      </c>
      <c r="C63" s="3">
        <v>43707</v>
      </c>
      <c r="D63">
        <v>2019</v>
      </c>
      <c r="E63">
        <v>8</v>
      </c>
      <c r="F63" t="s">
        <v>222</v>
      </c>
      <c r="G63" s="4">
        <v>2.3386689999999999</v>
      </c>
      <c r="H63" s="4">
        <v>5</v>
      </c>
      <c r="I63" s="5">
        <v>922</v>
      </c>
      <c r="J63" s="5">
        <v>107</v>
      </c>
      <c r="K63" t="s">
        <v>83</v>
      </c>
      <c r="L63" t="s">
        <v>83</v>
      </c>
      <c r="M63" t="s">
        <v>54</v>
      </c>
      <c r="N63" t="s">
        <v>54</v>
      </c>
      <c r="O63" t="s">
        <v>278</v>
      </c>
      <c r="P63" t="s">
        <v>56</v>
      </c>
      <c r="Q63" t="s">
        <v>42</v>
      </c>
      <c r="R63" t="s">
        <v>43</v>
      </c>
      <c r="S63" s="5">
        <v>0</v>
      </c>
      <c r="T63" s="5">
        <v>0</v>
      </c>
      <c r="U63" t="s">
        <v>44</v>
      </c>
      <c r="V63" t="s">
        <v>279</v>
      </c>
      <c r="W63" s="5">
        <v>79</v>
      </c>
      <c r="X63" s="4">
        <v>5.22</v>
      </c>
      <c r="Y63" s="4">
        <v>7.0000000000000007E-2</v>
      </c>
      <c r="Z63" s="4">
        <v>5.29</v>
      </c>
      <c r="AA63" s="4">
        <f t="shared" si="0"/>
        <v>2.5365173535791756</v>
      </c>
      <c r="AB63" s="6">
        <f t="shared" si="1"/>
        <v>0.46773379999999998</v>
      </c>
      <c r="AC63" s="6">
        <f t="shared" si="2"/>
        <v>1.0580000000000001</v>
      </c>
    </row>
    <row r="64" spans="1:29">
      <c r="A64" t="s">
        <v>280</v>
      </c>
      <c r="B64" t="s">
        <v>281</v>
      </c>
      <c r="C64" s="3">
        <v>43714</v>
      </c>
      <c r="D64">
        <v>2019</v>
      </c>
      <c r="E64">
        <v>9</v>
      </c>
      <c r="F64" t="s">
        <v>222</v>
      </c>
      <c r="G64" s="4">
        <v>91.062151999999998</v>
      </c>
      <c r="H64" s="4">
        <v>70</v>
      </c>
      <c r="I64" s="5">
        <v>4570</v>
      </c>
      <c r="J64" s="5">
        <v>169</v>
      </c>
      <c r="K64" t="s">
        <v>83</v>
      </c>
      <c r="L64" t="s">
        <v>83</v>
      </c>
      <c r="M64" t="s">
        <v>39</v>
      </c>
      <c r="N64" t="s">
        <v>39</v>
      </c>
      <c r="O64" t="s">
        <v>140</v>
      </c>
      <c r="P64" t="s">
        <v>141</v>
      </c>
      <c r="Q64" t="s">
        <v>42</v>
      </c>
      <c r="R64" t="s">
        <v>43</v>
      </c>
      <c r="S64" s="5">
        <v>0</v>
      </c>
      <c r="T64" s="5">
        <v>0</v>
      </c>
      <c r="U64" t="s">
        <v>44</v>
      </c>
      <c r="V64" t="s">
        <v>282</v>
      </c>
      <c r="W64" s="5">
        <v>78</v>
      </c>
      <c r="X64" s="4">
        <v>211.59</v>
      </c>
      <c r="Y64" s="4">
        <v>255.97</v>
      </c>
      <c r="Z64" s="4">
        <v>467.56</v>
      </c>
      <c r="AA64" s="4">
        <f t="shared" si="0"/>
        <v>19.926072647702409</v>
      </c>
      <c r="AB64" s="6">
        <f t="shared" si="1"/>
        <v>1.3008878857142856</v>
      </c>
      <c r="AC64" s="6">
        <f t="shared" si="2"/>
        <v>6.6794285714285717</v>
      </c>
    </row>
    <row r="65" spans="1:29">
      <c r="A65" t="s">
        <v>283</v>
      </c>
      <c r="B65" t="s">
        <v>284</v>
      </c>
      <c r="C65" s="3">
        <v>43721</v>
      </c>
      <c r="D65">
        <v>2019</v>
      </c>
      <c r="E65">
        <v>9</v>
      </c>
      <c r="F65" t="s">
        <v>222</v>
      </c>
      <c r="G65" s="4">
        <v>33.181361000000003</v>
      </c>
      <c r="H65" s="4">
        <v>20.7</v>
      </c>
      <c r="I65" s="5">
        <v>3250</v>
      </c>
      <c r="J65" s="5">
        <v>110</v>
      </c>
      <c r="K65" t="s">
        <v>83</v>
      </c>
      <c r="L65" t="s">
        <v>83</v>
      </c>
      <c r="M65" t="s">
        <v>50</v>
      </c>
      <c r="N65" t="s">
        <v>50</v>
      </c>
      <c r="O65" t="s">
        <v>161</v>
      </c>
      <c r="P65" t="s">
        <v>56</v>
      </c>
      <c r="Q65" t="s">
        <v>42</v>
      </c>
      <c r="R65" t="s">
        <v>43</v>
      </c>
      <c r="S65" s="5">
        <v>0</v>
      </c>
      <c r="T65" s="5">
        <v>0</v>
      </c>
      <c r="U65" t="s">
        <v>44</v>
      </c>
      <c r="V65" t="s">
        <v>285</v>
      </c>
      <c r="W65" s="5">
        <v>65</v>
      </c>
      <c r="X65" s="4">
        <v>104.96</v>
      </c>
      <c r="Y65" s="4">
        <v>45.5</v>
      </c>
      <c r="Z65" s="4">
        <v>150.47</v>
      </c>
      <c r="AA65" s="4">
        <f t="shared" si="0"/>
        <v>10.209649538461539</v>
      </c>
      <c r="AB65" s="6">
        <f t="shared" si="1"/>
        <v>1.6029642995169084</v>
      </c>
      <c r="AC65" s="6">
        <f t="shared" si="2"/>
        <v>7.2690821256038651</v>
      </c>
    </row>
    <row r="66" spans="1:29">
      <c r="A66" t="s">
        <v>286</v>
      </c>
      <c r="B66" t="s">
        <v>287</v>
      </c>
      <c r="C66" s="3">
        <v>43721</v>
      </c>
      <c r="D66">
        <v>2019</v>
      </c>
      <c r="E66">
        <v>9</v>
      </c>
      <c r="F66" t="s">
        <v>222</v>
      </c>
      <c r="G66" s="4">
        <v>2.679027</v>
      </c>
      <c r="H66" s="4">
        <v>40</v>
      </c>
      <c r="I66" s="5">
        <v>2542</v>
      </c>
      <c r="J66" s="5">
        <v>149</v>
      </c>
      <c r="K66" t="s">
        <v>83</v>
      </c>
      <c r="L66" t="s">
        <v>83</v>
      </c>
      <c r="M66" t="s">
        <v>50</v>
      </c>
      <c r="N66" t="s">
        <v>50</v>
      </c>
      <c r="O66" t="s">
        <v>140</v>
      </c>
      <c r="P66" t="s">
        <v>141</v>
      </c>
      <c r="Q66" t="s">
        <v>42</v>
      </c>
      <c r="R66" t="s">
        <v>43</v>
      </c>
      <c r="S66" s="5">
        <v>0</v>
      </c>
      <c r="T66" s="5">
        <v>0</v>
      </c>
      <c r="U66" t="s">
        <v>44</v>
      </c>
      <c r="V66" t="s">
        <v>288</v>
      </c>
      <c r="W66" s="5">
        <v>72</v>
      </c>
      <c r="X66" s="4">
        <v>5.33</v>
      </c>
      <c r="Y66" s="4">
        <v>4.7</v>
      </c>
      <c r="Z66" s="4">
        <v>10.029999999999999</v>
      </c>
      <c r="AA66" s="4">
        <f t="shared" ref="AA66:AA129" si="3">IFERROR(G66*1000/I66,"")</f>
        <v>1.053905192761605</v>
      </c>
      <c r="AB66" s="6">
        <f t="shared" ref="AB66:AB129" si="4">IFERROR(G66/H66,"")</f>
        <v>6.6975674999999998E-2</v>
      </c>
      <c r="AC66" s="6">
        <f t="shared" ref="AC66:AC129" si="5">IF(Z66="","",Z66/H66)</f>
        <v>0.25074999999999997</v>
      </c>
    </row>
    <row r="67" spans="1:29">
      <c r="A67" t="s">
        <v>289</v>
      </c>
      <c r="B67" t="s">
        <v>290</v>
      </c>
      <c r="C67" s="3">
        <v>43728</v>
      </c>
      <c r="D67">
        <v>2019</v>
      </c>
      <c r="E67">
        <v>9</v>
      </c>
      <c r="F67" t="s">
        <v>222</v>
      </c>
      <c r="G67" s="4">
        <v>19.001397999999998</v>
      </c>
      <c r="H67" s="4">
        <v>80</v>
      </c>
      <c r="I67" s="5">
        <v>3460</v>
      </c>
      <c r="J67" s="5">
        <v>124</v>
      </c>
      <c r="K67" t="s">
        <v>38</v>
      </c>
      <c r="L67" t="s">
        <v>38</v>
      </c>
      <c r="M67" t="s">
        <v>54</v>
      </c>
      <c r="N67" t="s">
        <v>54</v>
      </c>
      <c r="O67" t="s">
        <v>73</v>
      </c>
      <c r="P67" t="s">
        <v>74</v>
      </c>
      <c r="Q67" t="s">
        <v>291</v>
      </c>
      <c r="R67" t="s">
        <v>64</v>
      </c>
      <c r="S67" s="5">
        <v>0</v>
      </c>
      <c r="T67" s="5">
        <v>0</v>
      </c>
      <c r="U67" t="s">
        <v>44</v>
      </c>
      <c r="V67" t="s">
        <v>292</v>
      </c>
      <c r="W67" s="5">
        <v>40</v>
      </c>
      <c r="X67" s="4">
        <v>50.19</v>
      </c>
      <c r="Y67" s="4">
        <v>84.97</v>
      </c>
      <c r="Z67" s="4">
        <v>135.15</v>
      </c>
      <c r="AA67" s="4">
        <f t="shared" si="3"/>
        <v>5.4917335260115596</v>
      </c>
      <c r="AB67" s="6">
        <f t="shared" si="4"/>
        <v>0.23751747499999998</v>
      </c>
      <c r="AC67" s="6">
        <f t="shared" si="5"/>
        <v>1.6893750000000001</v>
      </c>
    </row>
    <row r="68" spans="1:29">
      <c r="A68" t="s">
        <v>293</v>
      </c>
      <c r="B68" t="s">
        <v>294</v>
      </c>
      <c r="C68" s="3">
        <v>43728</v>
      </c>
      <c r="D68">
        <v>2019</v>
      </c>
      <c r="E68">
        <v>9</v>
      </c>
      <c r="F68" t="s">
        <v>222</v>
      </c>
      <c r="G68" s="4">
        <v>18.872919</v>
      </c>
      <c r="H68" s="4">
        <v>50</v>
      </c>
      <c r="I68" s="5">
        <v>3618</v>
      </c>
      <c r="J68" s="5">
        <v>100</v>
      </c>
      <c r="K68" t="s">
        <v>83</v>
      </c>
      <c r="L68" t="s">
        <v>83</v>
      </c>
      <c r="M68" t="s">
        <v>61</v>
      </c>
      <c r="N68" t="s">
        <v>61</v>
      </c>
      <c r="O68" t="s">
        <v>84</v>
      </c>
      <c r="P68" t="s">
        <v>84</v>
      </c>
      <c r="Q68" t="s">
        <v>89</v>
      </c>
      <c r="R68" t="s">
        <v>64</v>
      </c>
      <c r="S68" s="5">
        <v>0</v>
      </c>
      <c r="T68" s="5">
        <v>0</v>
      </c>
      <c r="U68" t="s">
        <v>44</v>
      </c>
      <c r="V68" t="s">
        <v>295</v>
      </c>
      <c r="W68" s="5">
        <v>81</v>
      </c>
      <c r="X68" s="4">
        <v>44.82</v>
      </c>
      <c r="Y68" s="4">
        <v>46.56</v>
      </c>
      <c r="Z68" s="4">
        <v>91.38</v>
      </c>
      <c r="AA68" s="4">
        <f t="shared" si="3"/>
        <v>5.2163955223880594</v>
      </c>
      <c r="AB68" s="6">
        <f t="shared" si="4"/>
        <v>0.37745837999999998</v>
      </c>
      <c r="AC68" s="6">
        <f t="shared" si="5"/>
        <v>1.8275999999999999</v>
      </c>
    </row>
    <row r="69" spans="1:29">
      <c r="A69" t="s">
        <v>296</v>
      </c>
      <c r="B69" t="s">
        <v>297</v>
      </c>
      <c r="C69" s="3">
        <v>43735</v>
      </c>
      <c r="D69">
        <v>2019</v>
      </c>
      <c r="E69">
        <v>9</v>
      </c>
      <c r="F69" t="s">
        <v>222</v>
      </c>
      <c r="G69" s="4">
        <v>20.612100000000002</v>
      </c>
      <c r="H69" s="4">
        <v>75</v>
      </c>
      <c r="I69" s="5">
        <v>4242</v>
      </c>
      <c r="J69" s="5">
        <v>85</v>
      </c>
      <c r="K69" t="s">
        <v>48</v>
      </c>
      <c r="L69" t="s">
        <v>49</v>
      </c>
      <c r="M69" t="s">
        <v>72</v>
      </c>
      <c r="N69" t="s">
        <v>72</v>
      </c>
      <c r="O69" t="s">
        <v>68</v>
      </c>
      <c r="P69" t="s">
        <v>68</v>
      </c>
      <c r="Q69" t="s">
        <v>298</v>
      </c>
      <c r="R69" t="s">
        <v>64</v>
      </c>
      <c r="S69" s="5">
        <v>0</v>
      </c>
      <c r="T69" s="5">
        <v>0</v>
      </c>
      <c r="U69" t="s">
        <v>44</v>
      </c>
      <c r="V69" t="s">
        <v>299</v>
      </c>
      <c r="W69" s="5">
        <v>95</v>
      </c>
      <c r="X69" s="4">
        <v>60.76</v>
      </c>
      <c r="Y69" s="4">
        <v>127.91</v>
      </c>
      <c r="Z69" s="4">
        <v>188.67</v>
      </c>
      <c r="AA69" s="4">
        <f t="shared" si="3"/>
        <v>4.8590523338048097</v>
      </c>
      <c r="AB69" s="6">
        <f t="shared" si="4"/>
        <v>0.27482800000000002</v>
      </c>
      <c r="AC69" s="6">
        <f t="shared" si="5"/>
        <v>2.5155999999999996</v>
      </c>
    </row>
    <row r="70" spans="1:29">
      <c r="A70" t="s">
        <v>300</v>
      </c>
      <c r="B70" t="s">
        <v>301</v>
      </c>
      <c r="C70" s="3">
        <v>43742</v>
      </c>
      <c r="D70">
        <v>2019</v>
      </c>
      <c r="E70">
        <v>10</v>
      </c>
      <c r="F70" t="s">
        <v>302</v>
      </c>
      <c r="G70" s="4">
        <v>96.202337</v>
      </c>
      <c r="H70" s="4">
        <v>55</v>
      </c>
      <c r="I70" s="5">
        <v>4374</v>
      </c>
      <c r="J70" s="5">
        <v>122</v>
      </c>
      <c r="K70" t="s">
        <v>83</v>
      </c>
      <c r="L70" t="s">
        <v>83</v>
      </c>
      <c r="M70" t="s">
        <v>54</v>
      </c>
      <c r="N70" t="s">
        <v>54</v>
      </c>
      <c r="O70" t="s">
        <v>140</v>
      </c>
      <c r="P70" t="s">
        <v>141</v>
      </c>
      <c r="Q70" t="s">
        <v>42</v>
      </c>
      <c r="R70" t="s">
        <v>43</v>
      </c>
      <c r="S70" s="5">
        <v>0</v>
      </c>
      <c r="T70" s="5">
        <v>0</v>
      </c>
      <c r="U70" t="s">
        <v>44</v>
      </c>
      <c r="V70" t="s">
        <v>303</v>
      </c>
      <c r="W70" s="5">
        <v>88</v>
      </c>
      <c r="X70" s="4">
        <v>335.45</v>
      </c>
      <c r="Y70" s="4">
        <v>728.12</v>
      </c>
      <c r="Z70" s="4">
        <v>1063.57</v>
      </c>
      <c r="AA70" s="4">
        <f t="shared" si="3"/>
        <v>21.994132830361224</v>
      </c>
      <c r="AB70" s="6">
        <f t="shared" si="4"/>
        <v>1.7491334000000001</v>
      </c>
      <c r="AC70" s="6">
        <f t="shared" si="5"/>
        <v>19.337636363636364</v>
      </c>
    </row>
    <row r="71" spans="1:29">
      <c r="A71" t="s">
        <v>304</v>
      </c>
      <c r="B71" t="s">
        <v>305</v>
      </c>
      <c r="C71" s="3">
        <v>43749</v>
      </c>
      <c r="D71">
        <v>2019</v>
      </c>
      <c r="E71">
        <v>10</v>
      </c>
      <c r="F71" t="s">
        <v>302</v>
      </c>
      <c r="G71" s="4">
        <v>20.552371999999998</v>
      </c>
      <c r="H71" s="4">
        <v>140</v>
      </c>
      <c r="I71" s="5">
        <v>3642</v>
      </c>
      <c r="J71" s="5">
        <v>116</v>
      </c>
      <c r="K71" t="s">
        <v>38</v>
      </c>
      <c r="L71" t="s">
        <v>38</v>
      </c>
      <c r="M71" t="s">
        <v>61</v>
      </c>
      <c r="N71" t="s">
        <v>61</v>
      </c>
      <c r="O71" t="s">
        <v>95</v>
      </c>
      <c r="P71" t="s">
        <v>96</v>
      </c>
      <c r="Q71" t="s">
        <v>42</v>
      </c>
      <c r="R71" t="s">
        <v>43</v>
      </c>
      <c r="S71" s="5">
        <v>0</v>
      </c>
      <c r="T71" s="5">
        <v>0</v>
      </c>
      <c r="U71" t="s">
        <v>44</v>
      </c>
      <c r="V71" t="s">
        <v>306</v>
      </c>
      <c r="W71" s="5">
        <v>83</v>
      </c>
      <c r="X71" s="4">
        <v>48.55</v>
      </c>
      <c r="Y71" s="4">
        <v>118.05</v>
      </c>
      <c r="Z71" s="4">
        <v>166.6</v>
      </c>
      <c r="AA71" s="4">
        <f t="shared" si="3"/>
        <v>5.6431554091158702</v>
      </c>
      <c r="AB71" s="6">
        <f t="shared" si="4"/>
        <v>0.14680265714285712</v>
      </c>
      <c r="AC71" s="6">
        <f t="shared" si="5"/>
        <v>1.19</v>
      </c>
    </row>
    <row r="72" spans="1:29">
      <c r="A72" t="s">
        <v>307</v>
      </c>
      <c r="B72" t="s">
        <v>308</v>
      </c>
      <c r="C72" s="3">
        <v>43749</v>
      </c>
      <c r="D72">
        <v>2019</v>
      </c>
      <c r="E72">
        <v>10</v>
      </c>
      <c r="F72" t="s">
        <v>302</v>
      </c>
      <c r="G72" s="4">
        <v>3.1067300000000002</v>
      </c>
      <c r="H72" s="4">
        <v>5</v>
      </c>
      <c r="I72" s="5">
        <v>2332</v>
      </c>
      <c r="J72" s="5">
        <v>84</v>
      </c>
      <c r="K72" t="s">
        <v>83</v>
      </c>
      <c r="L72" t="s">
        <v>83</v>
      </c>
      <c r="M72" t="s">
        <v>93</v>
      </c>
      <c r="N72" t="s">
        <v>94</v>
      </c>
      <c r="O72" t="s">
        <v>84</v>
      </c>
      <c r="P72" t="s">
        <v>84</v>
      </c>
      <c r="Q72" t="s">
        <v>42</v>
      </c>
      <c r="R72" t="s">
        <v>43</v>
      </c>
      <c r="S72" s="5">
        <v>0</v>
      </c>
      <c r="T72" s="5">
        <v>0</v>
      </c>
      <c r="U72" t="s">
        <v>44</v>
      </c>
      <c r="V72" t="s">
        <v>309</v>
      </c>
      <c r="W72" s="5">
        <v>71</v>
      </c>
      <c r="X72" s="4">
        <v>6.55</v>
      </c>
      <c r="Y72" s="4">
        <v>4.05</v>
      </c>
      <c r="Z72" s="4">
        <v>10.6</v>
      </c>
      <c r="AA72" s="4">
        <f t="shared" si="3"/>
        <v>1.3322169811320754</v>
      </c>
      <c r="AB72" s="6">
        <f t="shared" si="4"/>
        <v>0.62134600000000006</v>
      </c>
      <c r="AC72" s="6">
        <f t="shared" si="5"/>
        <v>2.12</v>
      </c>
    </row>
    <row r="73" spans="1:29">
      <c r="A73" t="s">
        <v>310</v>
      </c>
      <c r="B73" t="s">
        <v>311</v>
      </c>
      <c r="C73" s="3">
        <v>43749</v>
      </c>
      <c r="D73">
        <v>2019</v>
      </c>
      <c r="E73">
        <v>10</v>
      </c>
      <c r="F73" t="s">
        <v>302</v>
      </c>
      <c r="G73" s="4">
        <v>30.300007000000001</v>
      </c>
      <c r="H73" s="4">
        <v>24</v>
      </c>
      <c r="I73" s="5">
        <v>4007</v>
      </c>
      <c r="J73" s="5">
        <v>100</v>
      </c>
      <c r="K73" t="s">
        <v>48</v>
      </c>
      <c r="L73" t="s">
        <v>49</v>
      </c>
      <c r="M73" t="s">
        <v>72</v>
      </c>
      <c r="N73" t="s">
        <v>72</v>
      </c>
      <c r="O73" t="s">
        <v>172</v>
      </c>
      <c r="P73" t="s">
        <v>56</v>
      </c>
      <c r="Q73" t="s">
        <v>42</v>
      </c>
      <c r="R73" t="s">
        <v>43</v>
      </c>
      <c r="S73" s="5">
        <v>0</v>
      </c>
      <c r="T73" s="5">
        <v>0</v>
      </c>
      <c r="U73" t="s">
        <v>44</v>
      </c>
      <c r="V73" t="s">
        <v>312</v>
      </c>
      <c r="W73" s="5">
        <v>69</v>
      </c>
      <c r="X73" s="4">
        <v>97.86</v>
      </c>
      <c r="Y73" s="4">
        <v>102.72</v>
      </c>
      <c r="Z73" s="4">
        <v>200.59</v>
      </c>
      <c r="AA73" s="4">
        <f t="shared" si="3"/>
        <v>7.5617686548540055</v>
      </c>
      <c r="AB73" s="6">
        <f t="shared" si="4"/>
        <v>1.2625002916666668</v>
      </c>
      <c r="AC73" s="6">
        <f t="shared" si="5"/>
        <v>8.3579166666666662</v>
      </c>
    </row>
    <row r="74" spans="1:29">
      <c r="A74" t="s">
        <v>313</v>
      </c>
      <c r="B74" t="s">
        <v>314</v>
      </c>
      <c r="C74" s="3">
        <v>43756</v>
      </c>
      <c r="D74">
        <v>2019</v>
      </c>
      <c r="E74">
        <v>10</v>
      </c>
      <c r="F74" t="s">
        <v>302</v>
      </c>
      <c r="G74" s="4">
        <v>26.803104000000001</v>
      </c>
      <c r="H74" s="4">
        <v>48</v>
      </c>
      <c r="I74" s="5">
        <v>3468</v>
      </c>
      <c r="J74" s="5">
        <v>93</v>
      </c>
      <c r="K74" t="s">
        <v>83</v>
      </c>
      <c r="L74" t="s">
        <v>83</v>
      </c>
      <c r="M74" t="s">
        <v>94</v>
      </c>
      <c r="N74" t="s">
        <v>94</v>
      </c>
      <c r="O74" t="s">
        <v>40</v>
      </c>
      <c r="P74" t="s">
        <v>41</v>
      </c>
      <c r="Q74" t="s">
        <v>42</v>
      </c>
      <c r="R74" t="s">
        <v>43</v>
      </c>
      <c r="S74" s="5">
        <v>0</v>
      </c>
      <c r="T74" s="5">
        <v>0</v>
      </c>
      <c r="U74" t="s">
        <v>44</v>
      </c>
      <c r="V74" t="s">
        <v>315</v>
      </c>
      <c r="W74" s="5">
        <v>88</v>
      </c>
      <c r="X74" s="4">
        <v>73.12</v>
      </c>
      <c r="Y74" s="4">
        <v>52.09</v>
      </c>
      <c r="Z74" s="4">
        <v>125.21</v>
      </c>
      <c r="AA74" s="4">
        <f t="shared" si="3"/>
        <v>7.7286920415224909</v>
      </c>
      <c r="AB74" s="6">
        <f t="shared" si="4"/>
        <v>0.55839800000000006</v>
      </c>
      <c r="AC74" s="6">
        <f t="shared" si="5"/>
        <v>2.6085416666666665</v>
      </c>
    </row>
    <row r="75" spans="1:29">
      <c r="A75" t="s">
        <v>316</v>
      </c>
      <c r="B75" t="s">
        <v>317</v>
      </c>
      <c r="C75" s="3">
        <v>43763</v>
      </c>
      <c r="D75">
        <v>2019</v>
      </c>
      <c r="E75">
        <v>10</v>
      </c>
      <c r="F75" t="s">
        <v>302</v>
      </c>
      <c r="G75" s="4">
        <v>8.3768460000000005</v>
      </c>
      <c r="H75" s="4">
        <v>12</v>
      </c>
      <c r="I75" s="5">
        <v>2062</v>
      </c>
      <c r="J75" s="5">
        <v>108</v>
      </c>
      <c r="K75" t="s">
        <v>83</v>
      </c>
      <c r="L75" t="s">
        <v>83</v>
      </c>
      <c r="M75" t="s">
        <v>61</v>
      </c>
      <c r="N75" t="s">
        <v>61</v>
      </c>
      <c r="O75" t="s">
        <v>40</v>
      </c>
      <c r="P75" t="s">
        <v>41</v>
      </c>
      <c r="Q75" t="s">
        <v>42</v>
      </c>
      <c r="R75" t="s">
        <v>43</v>
      </c>
      <c r="S75" s="5">
        <v>0</v>
      </c>
      <c r="T75" s="5">
        <v>0</v>
      </c>
      <c r="U75" t="s">
        <v>44</v>
      </c>
      <c r="V75" t="s">
        <v>318</v>
      </c>
      <c r="W75" s="5">
        <v>93</v>
      </c>
      <c r="X75" s="4">
        <v>22.01</v>
      </c>
      <c r="Y75" s="4">
        <v>0.72</v>
      </c>
      <c r="Z75" s="4">
        <v>22.73</v>
      </c>
      <c r="AA75" s="4">
        <f t="shared" si="3"/>
        <v>4.0624859359844816</v>
      </c>
      <c r="AB75" s="6">
        <f t="shared" si="4"/>
        <v>0.69807050000000004</v>
      </c>
      <c r="AC75" s="6">
        <f t="shared" si="5"/>
        <v>1.8941666666666668</v>
      </c>
    </row>
    <row r="76" spans="1:29">
      <c r="A76" t="s">
        <v>319</v>
      </c>
      <c r="B76" t="s">
        <v>320</v>
      </c>
      <c r="C76" s="3">
        <v>43763</v>
      </c>
      <c r="D76">
        <v>2019</v>
      </c>
      <c r="E76">
        <v>10</v>
      </c>
      <c r="F76" t="s">
        <v>302</v>
      </c>
      <c r="G76" s="4">
        <v>8.8650819999999992</v>
      </c>
      <c r="H76" s="4">
        <v>6.5</v>
      </c>
      <c r="I76" s="5">
        <v>2675</v>
      </c>
      <c r="J76" s="5">
        <v>90</v>
      </c>
      <c r="K76" t="s">
        <v>38</v>
      </c>
      <c r="L76" t="s">
        <v>38</v>
      </c>
      <c r="M76" t="s">
        <v>39</v>
      </c>
      <c r="N76" t="s">
        <v>39</v>
      </c>
      <c r="O76" t="s">
        <v>161</v>
      </c>
      <c r="P76" t="s">
        <v>56</v>
      </c>
      <c r="Q76" t="s">
        <v>42</v>
      </c>
      <c r="R76" t="s">
        <v>43</v>
      </c>
      <c r="S76" s="5">
        <v>0</v>
      </c>
      <c r="T76" s="5">
        <v>0</v>
      </c>
      <c r="U76" t="s">
        <v>44</v>
      </c>
      <c r="V76" t="s">
        <v>321</v>
      </c>
      <c r="W76" s="5">
        <v>72</v>
      </c>
      <c r="X76" s="4">
        <v>25.62</v>
      </c>
      <c r="Y76" s="4">
        <v>16.55</v>
      </c>
      <c r="Z76" s="4">
        <v>42.18</v>
      </c>
      <c r="AA76" s="4">
        <f t="shared" si="3"/>
        <v>3.314049345794392</v>
      </c>
      <c r="AB76" s="6">
        <f t="shared" si="4"/>
        <v>1.3638587692307691</v>
      </c>
      <c r="AC76" s="6">
        <f t="shared" si="5"/>
        <v>6.4892307692307689</v>
      </c>
    </row>
    <row r="77" spans="1:29">
      <c r="A77" t="s">
        <v>322</v>
      </c>
      <c r="B77" t="s">
        <v>323</v>
      </c>
      <c r="C77" s="3">
        <v>43763</v>
      </c>
      <c r="D77">
        <v>2019</v>
      </c>
      <c r="E77">
        <v>10</v>
      </c>
      <c r="F77" t="s">
        <v>302</v>
      </c>
      <c r="G77" s="4">
        <v>2.6337169999999999</v>
      </c>
      <c r="H77" s="4">
        <v>30</v>
      </c>
      <c r="I77" s="5">
        <v>1022</v>
      </c>
      <c r="J77" s="5">
        <v>105</v>
      </c>
      <c r="K77" t="s">
        <v>38</v>
      </c>
      <c r="L77" t="s">
        <v>38</v>
      </c>
      <c r="M77" t="s">
        <v>50</v>
      </c>
      <c r="N77" t="s">
        <v>50</v>
      </c>
      <c r="O77" t="s">
        <v>324</v>
      </c>
      <c r="P77" t="s">
        <v>56</v>
      </c>
      <c r="Q77" t="s">
        <v>42</v>
      </c>
      <c r="R77" t="s">
        <v>43</v>
      </c>
      <c r="S77" s="5">
        <v>0</v>
      </c>
      <c r="T77" s="5">
        <v>0</v>
      </c>
      <c r="U77" t="s">
        <v>44</v>
      </c>
      <c r="V77" t="s">
        <v>325</v>
      </c>
      <c r="W77" s="5">
        <v>79</v>
      </c>
      <c r="X77" s="4">
        <v>5.98</v>
      </c>
      <c r="Y77" s="4">
        <v>6.89</v>
      </c>
      <c r="Z77" s="4">
        <v>12.87</v>
      </c>
      <c r="AA77" s="4">
        <f t="shared" si="3"/>
        <v>2.5770225048923674</v>
      </c>
      <c r="AB77" s="6">
        <f t="shared" si="4"/>
        <v>8.7790566666666667E-2</v>
      </c>
      <c r="AC77" s="6">
        <f t="shared" si="5"/>
        <v>0.42899999999999999</v>
      </c>
    </row>
    <row r="78" spans="1:29">
      <c r="A78" t="s">
        <v>326</v>
      </c>
      <c r="B78" t="s">
        <v>327</v>
      </c>
      <c r="C78" s="3">
        <v>43770</v>
      </c>
      <c r="D78">
        <v>2019</v>
      </c>
      <c r="E78">
        <v>11</v>
      </c>
      <c r="F78" t="s">
        <v>302</v>
      </c>
      <c r="G78" s="4">
        <v>2.901335</v>
      </c>
      <c r="H78" s="4">
        <v>50</v>
      </c>
      <c r="I78" s="5">
        <v>2844</v>
      </c>
      <c r="J78" s="5">
        <v>93</v>
      </c>
      <c r="K78" t="s">
        <v>48</v>
      </c>
      <c r="L78" t="s">
        <v>49</v>
      </c>
      <c r="M78" t="s">
        <v>72</v>
      </c>
      <c r="N78" t="s">
        <v>72</v>
      </c>
      <c r="O78" t="s">
        <v>55</v>
      </c>
      <c r="P78" t="s">
        <v>56</v>
      </c>
      <c r="Q78" t="s">
        <v>328</v>
      </c>
      <c r="R78" t="s">
        <v>64</v>
      </c>
      <c r="S78" s="5">
        <v>0</v>
      </c>
      <c r="T78" s="5">
        <v>1</v>
      </c>
      <c r="U78" t="s">
        <v>44</v>
      </c>
      <c r="V78" t="s">
        <v>329</v>
      </c>
      <c r="W78" s="5">
        <v>60</v>
      </c>
      <c r="X78" s="4">
        <v>5.8</v>
      </c>
      <c r="Y78" s="4">
        <v>5.48</v>
      </c>
      <c r="Z78" s="4">
        <v>11.29</v>
      </c>
      <c r="AA78" s="4">
        <f t="shared" si="3"/>
        <v>1.0201599859353023</v>
      </c>
      <c r="AB78" s="6">
        <f t="shared" si="4"/>
        <v>5.8026700000000001E-2</v>
      </c>
      <c r="AC78" s="6">
        <f t="shared" si="5"/>
        <v>0.22579999999999997</v>
      </c>
    </row>
    <row r="79" spans="1:29">
      <c r="A79" t="s">
        <v>330</v>
      </c>
      <c r="B79" t="s">
        <v>331</v>
      </c>
      <c r="C79" s="3">
        <v>43770</v>
      </c>
      <c r="D79">
        <v>2019</v>
      </c>
      <c r="E79">
        <v>11</v>
      </c>
      <c r="F79" t="s">
        <v>302</v>
      </c>
      <c r="G79" s="4">
        <v>11.67672</v>
      </c>
      <c r="H79" s="4">
        <v>17</v>
      </c>
      <c r="I79" s="5">
        <v>2059</v>
      </c>
      <c r="J79" s="5">
        <v>125</v>
      </c>
      <c r="K79" t="s">
        <v>38</v>
      </c>
      <c r="L79" t="s">
        <v>38</v>
      </c>
      <c r="M79" t="s">
        <v>50</v>
      </c>
      <c r="N79" t="s">
        <v>50</v>
      </c>
      <c r="O79" t="s">
        <v>111</v>
      </c>
      <c r="P79" t="s">
        <v>68</v>
      </c>
      <c r="Q79" t="s">
        <v>42</v>
      </c>
      <c r="R79" t="s">
        <v>43</v>
      </c>
      <c r="S79" s="5">
        <v>0</v>
      </c>
      <c r="T79" s="5">
        <v>1</v>
      </c>
      <c r="U79" t="s">
        <v>44</v>
      </c>
      <c r="V79" t="s">
        <v>332</v>
      </c>
      <c r="W79" s="5">
        <v>97</v>
      </c>
      <c r="X79" s="4">
        <v>43.08</v>
      </c>
      <c r="Y79" s="4">
        <v>0.95</v>
      </c>
      <c r="Z79" s="4">
        <v>44.04</v>
      </c>
      <c r="AA79" s="4">
        <f t="shared" si="3"/>
        <v>5.6710636231180178</v>
      </c>
      <c r="AB79" s="6">
        <f t="shared" si="4"/>
        <v>0.6868658823529411</v>
      </c>
      <c r="AC79" s="6">
        <f t="shared" si="5"/>
        <v>2.5905882352941174</v>
      </c>
    </row>
    <row r="80" spans="1:29">
      <c r="A80" t="s">
        <v>333</v>
      </c>
      <c r="B80" t="s">
        <v>334</v>
      </c>
      <c r="C80" s="3">
        <v>43770</v>
      </c>
      <c r="D80">
        <v>2019</v>
      </c>
      <c r="E80">
        <v>11</v>
      </c>
      <c r="F80" t="s">
        <v>302</v>
      </c>
      <c r="G80" s="4">
        <v>3.500454</v>
      </c>
      <c r="H80" s="4">
        <v>26</v>
      </c>
      <c r="I80" s="5">
        <v>1342</v>
      </c>
      <c r="J80" s="5">
        <v>144</v>
      </c>
      <c r="K80" t="s">
        <v>83</v>
      </c>
      <c r="L80" t="s">
        <v>83</v>
      </c>
      <c r="M80" t="s">
        <v>50</v>
      </c>
      <c r="N80" t="s">
        <v>50</v>
      </c>
      <c r="O80" t="s">
        <v>140</v>
      </c>
      <c r="P80" t="s">
        <v>141</v>
      </c>
      <c r="Q80" t="s">
        <v>42</v>
      </c>
      <c r="R80" t="s">
        <v>43</v>
      </c>
      <c r="S80" s="5">
        <v>0</v>
      </c>
      <c r="T80" s="5">
        <v>1</v>
      </c>
      <c r="U80" t="s">
        <v>44</v>
      </c>
      <c r="V80" t="s">
        <v>335</v>
      </c>
      <c r="W80" s="5">
        <v>80</v>
      </c>
      <c r="X80" s="4">
        <v>9.2799999999999994</v>
      </c>
      <c r="Y80" s="4">
        <v>9.3000000000000007</v>
      </c>
      <c r="Z80" s="4">
        <v>18.579999999999998</v>
      </c>
      <c r="AA80" s="4">
        <f t="shared" si="3"/>
        <v>2.6083859910581224</v>
      </c>
      <c r="AB80" s="6">
        <f t="shared" si="4"/>
        <v>0.13463284615384616</v>
      </c>
      <c r="AC80" s="6">
        <f t="shared" si="5"/>
        <v>0.71461538461538454</v>
      </c>
    </row>
    <row r="81" spans="1:29">
      <c r="A81" t="s">
        <v>336</v>
      </c>
      <c r="B81" t="s">
        <v>337</v>
      </c>
      <c r="C81" s="3">
        <v>43770</v>
      </c>
      <c r="D81">
        <v>2019</v>
      </c>
      <c r="E81">
        <v>11</v>
      </c>
      <c r="F81" t="s">
        <v>302</v>
      </c>
      <c r="G81" s="4">
        <v>29.033832</v>
      </c>
      <c r="H81" s="4">
        <v>185</v>
      </c>
      <c r="I81" s="5">
        <v>4086</v>
      </c>
      <c r="J81" s="5">
        <v>128</v>
      </c>
      <c r="K81" t="s">
        <v>83</v>
      </c>
      <c r="L81" t="s">
        <v>83</v>
      </c>
      <c r="M81" t="s">
        <v>61</v>
      </c>
      <c r="N81" t="s">
        <v>61</v>
      </c>
      <c r="O81" t="s">
        <v>95</v>
      </c>
      <c r="P81" t="s">
        <v>96</v>
      </c>
      <c r="Q81" t="s">
        <v>42</v>
      </c>
      <c r="R81" t="s">
        <v>43</v>
      </c>
      <c r="S81" s="5">
        <v>0</v>
      </c>
      <c r="T81" s="5">
        <v>1</v>
      </c>
      <c r="U81" t="s">
        <v>44</v>
      </c>
      <c r="V81" t="s">
        <v>338</v>
      </c>
      <c r="W81" s="5">
        <v>82</v>
      </c>
      <c r="X81" s="4">
        <v>62.25</v>
      </c>
      <c r="Y81" s="4">
        <v>188.11</v>
      </c>
      <c r="Z81" s="4">
        <v>250.37</v>
      </c>
      <c r="AA81" s="4">
        <f t="shared" si="3"/>
        <v>7.1056857562408222</v>
      </c>
      <c r="AB81" s="6">
        <f t="shared" si="4"/>
        <v>0.15693963243243245</v>
      </c>
      <c r="AC81" s="6">
        <f t="shared" si="5"/>
        <v>1.3533513513513513</v>
      </c>
    </row>
    <row r="82" spans="1:29">
      <c r="A82" t="s">
        <v>339</v>
      </c>
      <c r="B82" t="s">
        <v>340</v>
      </c>
      <c r="C82" s="3">
        <v>43777</v>
      </c>
      <c r="D82">
        <v>2019</v>
      </c>
      <c r="E82">
        <v>11</v>
      </c>
      <c r="F82" t="s">
        <v>302</v>
      </c>
      <c r="G82" s="4">
        <v>11.441055</v>
      </c>
      <c r="H82" s="4">
        <v>30</v>
      </c>
      <c r="I82" s="5">
        <v>3448</v>
      </c>
      <c r="J82" s="5">
        <v>103</v>
      </c>
      <c r="K82" t="s">
        <v>38</v>
      </c>
      <c r="L82" t="s">
        <v>38</v>
      </c>
      <c r="M82" t="s">
        <v>93</v>
      </c>
      <c r="N82" t="s">
        <v>94</v>
      </c>
      <c r="O82" t="s">
        <v>68</v>
      </c>
      <c r="P82" t="s">
        <v>68</v>
      </c>
      <c r="Q82" t="s">
        <v>199</v>
      </c>
      <c r="R82" t="s">
        <v>64</v>
      </c>
      <c r="S82" s="5">
        <v>0</v>
      </c>
      <c r="T82" s="5">
        <v>1</v>
      </c>
      <c r="U82" t="s">
        <v>44</v>
      </c>
      <c r="V82" t="s">
        <v>341</v>
      </c>
      <c r="W82" s="5">
        <v>81</v>
      </c>
      <c r="X82" s="4">
        <v>35.15</v>
      </c>
      <c r="Y82" s="4">
        <v>88.28</v>
      </c>
      <c r="Z82" s="4">
        <v>123.43</v>
      </c>
      <c r="AA82" s="4">
        <f t="shared" si="3"/>
        <v>3.3181714037122969</v>
      </c>
      <c r="AB82" s="6">
        <f t="shared" si="4"/>
        <v>0.3813685</v>
      </c>
      <c r="AC82" s="6">
        <f t="shared" si="5"/>
        <v>4.1143333333333336</v>
      </c>
    </row>
    <row r="83" spans="1:29">
      <c r="A83" t="s">
        <v>342</v>
      </c>
      <c r="B83" t="s">
        <v>343</v>
      </c>
      <c r="C83" s="3">
        <v>43777</v>
      </c>
      <c r="D83">
        <v>2019</v>
      </c>
      <c r="E83">
        <v>11</v>
      </c>
      <c r="F83" t="s">
        <v>302</v>
      </c>
      <c r="G83" s="4">
        <v>17.897418999999999</v>
      </c>
      <c r="H83" s="4">
        <v>100</v>
      </c>
      <c r="I83" s="5">
        <v>3242</v>
      </c>
      <c r="J83" s="5">
        <v>138</v>
      </c>
      <c r="K83" t="s">
        <v>38</v>
      </c>
      <c r="L83" t="s">
        <v>38</v>
      </c>
      <c r="M83" t="s">
        <v>61</v>
      </c>
      <c r="N83" t="s">
        <v>61</v>
      </c>
      <c r="O83" t="s">
        <v>84</v>
      </c>
      <c r="P83" t="s">
        <v>84</v>
      </c>
      <c r="Q83" t="s">
        <v>248</v>
      </c>
      <c r="R83" t="s">
        <v>64</v>
      </c>
      <c r="S83" s="5">
        <v>0</v>
      </c>
      <c r="T83" s="5">
        <v>1</v>
      </c>
      <c r="U83" t="s">
        <v>44</v>
      </c>
      <c r="V83" t="s">
        <v>344</v>
      </c>
      <c r="W83" s="5">
        <v>92</v>
      </c>
      <c r="X83" s="4">
        <v>56.85</v>
      </c>
      <c r="Y83" s="4">
        <v>69.94</v>
      </c>
      <c r="Z83" s="4">
        <v>126.79</v>
      </c>
      <c r="AA83" s="4">
        <f t="shared" si="3"/>
        <v>5.5204870450339287</v>
      </c>
      <c r="AB83" s="6">
        <f t="shared" si="4"/>
        <v>0.17897419000000001</v>
      </c>
      <c r="AC83" s="6">
        <f t="shared" si="5"/>
        <v>1.2679</v>
      </c>
    </row>
    <row r="84" spans="1:29">
      <c r="A84" t="s">
        <v>345</v>
      </c>
      <c r="B84" t="s">
        <v>346</v>
      </c>
      <c r="C84" s="3">
        <v>43784</v>
      </c>
      <c r="D84">
        <v>2019</v>
      </c>
      <c r="E84">
        <v>11</v>
      </c>
      <c r="F84" t="s">
        <v>302</v>
      </c>
      <c r="G84" s="4">
        <v>8.3511089999999992</v>
      </c>
      <c r="H84" s="4">
        <v>48</v>
      </c>
      <c r="I84" s="5">
        <v>3452</v>
      </c>
      <c r="J84" s="5">
        <v>119</v>
      </c>
      <c r="K84" t="s">
        <v>38</v>
      </c>
      <c r="L84" t="s">
        <v>38</v>
      </c>
      <c r="M84" t="s">
        <v>61</v>
      </c>
      <c r="N84" t="s">
        <v>61</v>
      </c>
      <c r="O84" t="s">
        <v>40</v>
      </c>
      <c r="P84" t="s">
        <v>41</v>
      </c>
      <c r="Q84" t="s">
        <v>42</v>
      </c>
      <c r="R84" t="s">
        <v>43</v>
      </c>
      <c r="S84" s="5">
        <v>0</v>
      </c>
      <c r="T84" s="5">
        <v>1</v>
      </c>
      <c r="U84" t="s">
        <v>44</v>
      </c>
      <c r="V84" t="s">
        <v>347</v>
      </c>
      <c r="W84" s="5">
        <v>78</v>
      </c>
      <c r="X84" s="4">
        <v>17.8</v>
      </c>
      <c r="Y84" s="4">
        <v>55.43</v>
      </c>
      <c r="Z84" s="4">
        <v>73.239999999999995</v>
      </c>
      <c r="AA84" s="4">
        <f t="shared" si="3"/>
        <v>2.4192088644264191</v>
      </c>
      <c r="AB84" s="6">
        <f t="shared" si="4"/>
        <v>0.17398143749999997</v>
      </c>
      <c r="AC84" s="6">
        <f t="shared" si="5"/>
        <v>1.5258333333333332</v>
      </c>
    </row>
    <row r="85" spans="1:29">
      <c r="A85" t="s">
        <v>348</v>
      </c>
      <c r="B85" t="s">
        <v>349</v>
      </c>
      <c r="C85" s="3">
        <v>43784</v>
      </c>
      <c r="D85">
        <v>2019</v>
      </c>
      <c r="E85">
        <v>11</v>
      </c>
      <c r="F85" t="s">
        <v>302</v>
      </c>
      <c r="G85" s="4">
        <v>31.474958000000001</v>
      </c>
      <c r="H85" s="4">
        <v>97.6</v>
      </c>
      <c r="I85" s="5">
        <v>3528</v>
      </c>
      <c r="J85" s="5">
        <v>152</v>
      </c>
      <c r="K85" t="s">
        <v>38</v>
      </c>
      <c r="L85" t="s">
        <v>38</v>
      </c>
      <c r="M85" t="s">
        <v>50</v>
      </c>
      <c r="N85" t="s">
        <v>50</v>
      </c>
      <c r="O85" t="s">
        <v>73</v>
      </c>
      <c r="P85" t="s">
        <v>74</v>
      </c>
      <c r="Q85" t="s">
        <v>42</v>
      </c>
      <c r="R85" t="s">
        <v>43</v>
      </c>
      <c r="S85" s="5">
        <v>0</v>
      </c>
      <c r="T85" s="5">
        <v>1</v>
      </c>
      <c r="U85" t="s">
        <v>44</v>
      </c>
      <c r="V85" t="s">
        <v>350</v>
      </c>
      <c r="W85" s="5">
        <v>98</v>
      </c>
      <c r="X85" s="4">
        <v>117.62</v>
      </c>
      <c r="Y85" s="4">
        <v>106.77</v>
      </c>
      <c r="Z85" s="4">
        <v>224.39</v>
      </c>
      <c r="AA85" s="4">
        <f t="shared" si="3"/>
        <v>8.9214733560090718</v>
      </c>
      <c r="AB85" s="6">
        <f t="shared" si="4"/>
        <v>0.32248932377049183</v>
      </c>
      <c r="AC85" s="6">
        <f t="shared" si="5"/>
        <v>2.2990778688524589</v>
      </c>
    </row>
    <row r="86" spans="1:29">
      <c r="A86" t="s">
        <v>351</v>
      </c>
      <c r="B86" t="s">
        <v>352</v>
      </c>
      <c r="C86" s="3">
        <v>43784</v>
      </c>
      <c r="D86">
        <v>2019</v>
      </c>
      <c r="E86">
        <v>11</v>
      </c>
      <c r="F86" t="s">
        <v>302</v>
      </c>
      <c r="G86" s="4">
        <v>5.6050509999999996</v>
      </c>
      <c r="H86" s="4">
        <v>10</v>
      </c>
      <c r="I86" s="5">
        <v>2439</v>
      </c>
      <c r="J86" s="5">
        <v>110</v>
      </c>
      <c r="K86" t="s">
        <v>83</v>
      </c>
      <c r="L86" t="s">
        <v>83</v>
      </c>
      <c r="M86" t="s">
        <v>54</v>
      </c>
      <c r="N86" t="s">
        <v>54</v>
      </c>
      <c r="O86" t="s">
        <v>140</v>
      </c>
      <c r="P86" t="s">
        <v>141</v>
      </c>
      <c r="Q86" t="s">
        <v>42</v>
      </c>
      <c r="R86" t="s">
        <v>43</v>
      </c>
      <c r="S86" s="5">
        <v>0</v>
      </c>
      <c r="T86" s="5">
        <v>1</v>
      </c>
      <c r="U86" t="s">
        <v>44</v>
      </c>
      <c r="V86" t="s">
        <v>353</v>
      </c>
      <c r="W86" s="5">
        <v>85</v>
      </c>
      <c r="X86" s="4">
        <v>17.16</v>
      </c>
      <c r="Y86" s="4">
        <v>16.7</v>
      </c>
      <c r="Z86" s="4">
        <v>33.86</v>
      </c>
      <c r="AA86" s="4">
        <f t="shared" si="3"/>
        <v>2.298093890938909</v>
      </c>
      <c r="AB86" s="6">
        <f t="shared" si="4"/>
        <v>0.56050509999999998</v>
      </c>
      <c r="AC86" s="6">
        <f t="shared" si="5"/>
        <v>3.3860000000000001</v>
      </c>
    </row>
    <row r="87" spans="1:29">
      <c r="A87" t="s">
        <v>354</v>
      </c>
      <c r="B87" t="s">
        <v>355</v>
      </c>
      <c r="C87" s="3">
        <v>43791</v>
      </c>
      <c r="D87">
        <v>2019</v>
      </c>
      <c r="E87">
        <v>11</v>
      </c>
      <c r="F87" t="s">
        <v>302</v>
      </c>
      <c r="G87" s="4">
        <v>9.2612679999999994</v>
      </c>
      <c r="H87" s="4">
        <v>33</v>
      </c>
      <c r="I87" s="5">
        <v>2665</v>
      </c>
      <c r="J87" s="5">
        <v>103</v>
      </c>
      <c r="K87" t="s">
        <v>83</v>
      </c>
      <c r="L87" t="s">
        <v>83</v>
      </c>
      <c r="M87" t="s">
        <v>54</v>
      </c>
      <c r="N87" t="s">
        <v>54</v>
      </c>
      <c r="O87" t="s">
        <v>161</v>
      </c>
      <c r="P87" t="s">
        <v>56</v>
      </c>
      <c r="Q87" t="s">
        <v>42</v>
      </c>
      <c r="R87" t="s">
        <v>43</v>
      </c>
      <c r="S87" s="5">
        <v>0</v>
      </c>
      <c r="T87" s="5">
        <v>1</v>
      </c>
      <c r="U87" t="s">
        <v>44</v>
      </c>
      <c r="V87" t="s">
        <v>356</v>
      </c>
      <c r="W87" s="5">
        <v>91</v>
      </c>
      <c r="X87" s="4">
        <v>28.54</v>
      </c>
      <c r="Y87" s="4">
        <v>14.12</v>
      </c>
      <c r="Z87" s="4">
        <v>42.66</v>
      </c>
      <c r="AA87" s="4">
        <f t="shared" si="3"/>
        <v>3.4751474671669795</v>
      </c>
      <c r="AB87" s="6">
        <f t="shared" si="4"/>
        <v>0.28064448484848481</v>
      </c>
      <c r="AC87" s="6">
        <f t="shared" si="5"/>
        <v>1.2927272727272727</v>
      </c>
    </row>
    <row r="88" spans="1:29">
      <c r="A88" t="s">
        <v>357</v>
      </c>
      <c r="B88" t="s">
        <v>358</v>
      </c>
      <c r="C88" s="3">
        <v>43791</v>
      </c>
      <c r="D88">
        <v>2019</v>
      </c>
      <c r="E88">
        <v>11</v>
      </c>
      <c r="F88" t="s">
        <v>302</v>
      </c>
      <c r="G88" s="4">
        <v>13.251238000000001</v>
      </c>
      <c r="H88" s="4">
        <v>45</v>
      </c>
      <c r="I88" s="5">
        <v>3235</v>
      </c>
      <c r="J88" s="5">
        <v>108</v>
      </c>
      <c r="K88" t="s">
        <v>48</v>
      </c>
      <c r="L88" t="s">
        <v>49</v>
      </c>
      <c r="M88" t="s">
        <v>50</v>
      </c>
      <c r="N88" t="s">
        <v>50</v>
      </c>
      <c r="O88" t="s">
        <v>40</v>
      </c>
      <c r="P88" t="s">
        <v>41</v>
      </c>
      <c r="Q88" t="s">
        <v>42</v>
      </c>
      <c r="R88" t="s">
        <v>43</v>
      </c>
      <c r="S88" s="5">
        <v>0</v>
      </c>
      <c r="T88" s="5">
        <v>1</v>
      </c>
      <c r="U88" t="s">
        <v>44</v>
      </c>
      <c r="V88" t="s">
        <v>359</v>
      </c>
      <c r="W88" s="5">
        <v>92</v>
      </c>
      <c r="X88" s="4">
        <v>61.7</v>
      </c>
      <c r="Y88" s="4">
        <v>6.89</v>
      </c>
      <c r="Z88" s="4">
        <v>68.59</v>
      </c>
      <c r="AA88" s="4">
        <f t="shared" si="3"/>
        <v>4.0962095826893359</v>
      </c>
      <c r="AB88" s="6">
        <f t="shared" si="4"/>
        <v>0.29447195555555555</v>
      </c>
      <c r="AC88" s="6">
        <f t="shared" si="5"/>
        <v>1.5242222222222224</v>
      </c>
    </row>
    <row r="89" spans="1:29">
      <c r="A89" t="s">
        <v>360</v>
      </c>
      <c r="B89" t="s">
        <v>361</v>
      </c>
      <c r="C89" s="3">
        <v>43791</v>
      </c>
      <c r="D89">
        <v>2019</v>
      </c>
      <c r="E89">
        <v>11</v>
      </c>
      <c r="F89" t="s">
        <v>302</v>
      </c>
      <c r="G89" s="4">
        <v>130.26335800000001</v>
      </c>
      <c r="H89" s="4">
        <v>150</v>
      </c>
      <c r="I89" s="5">
        <v>4440</v>
      </c>
      <c r="J89" s="5">
        <v>103</v>
      </c>
      <c r="K89" t="s">
        <v>48</v>
      </c>
      <c r="L89" t="s">
        <v>49</v>
      </c>
      <c r="M89" t="s">
        <v>362</v>
      </c>
      <c r="N89" t="s">
        <v>56</v>
      </c>
      <c r="O89" t="s">
        <v>107</v>
      </c>
      <c r="P89" t="s">
        <v>74</v>
      </c>
      <c r="Q89" t="s">
        <v>42</v>
      </c>
      <c r="R89" t="s">
        <v>43</v>
      </c>
      <c r="S89" s="5">
        <v>0</v>
      </c>
      <c r="T89" s="5">
        <v>1</v>
      </c>
      <c r="U89" t="s">
        <v>44</v>
      </c>
      <c r="V89" t="s">
        <v>363</v>
      </c>
      <c r="W89" s="5">
        <v>92</v>
      </c>
      <c r="X89" s="4">
        <v>477.37</v>
      </c>
      <c r="Y89" s="4">
        <v>974.28</v>
      </c>
      <c r="Z89" s="4">
        <v>1451.65</v>
      </c>
      <c r="AA89" s="4">
        <f t="shared" si="3"/>
        <v>29.338594144144146</v>
      </c>
      <c r="AB89" s="6">
        <f t="shared" si="4"/>
        <v>0.86842238666666671</v>
      </c>
      <c r="AC89" s="6">
        <f t="shared" si="5"/>
        <v>9.6776666666666671</v>
      </c>
    </row>
    <row r="90" spans="1:29">
      <c r="A90" t="s">
        <v>364</v>
      </c>
      <c r="B90" t="s">
        <v>365</v>
      </c>
      <c r="C90" s="3">
        <v>43796</v>
      </c>
      <c r="D90">
        <v>2019</v>
      </c>
      <c r="E90">
        <v>11</v>
      </c>
      <c r="F90" t="s">
        <v>302</v>
      </c>
      <c r="G90" s="4">
        <v>26.769548</v>
      </c>
      <c r="H90" s="4">
        <v>40</v>
      </c>
      <c r="I90" s="5">
        <v>3461</v>
      </c>
      <c r="J90" s="5">
        <v>130</v>
      </c>
      <c r="K90" t="s">
        <v>38</v>
      </c>
      <c r="L90" t="s">
        <v>38</v>
      </c>
      <c r="M90" t="s">
        <v>50</v>
      </c>
      <c r="N90" t="s">
        <v>50</v>
      </c>
      <c r="O90" t="s">
        <v>84</v>
      </c>
      <c r="P90" t="s">
        <v>84</v>
      </c>
      <c r="Q90" t="s">
        <v>42</v>
      </c>
      <c r="R90" t="s">
        <v>43</v>
      </c>
      <c r="S90" s="5">
        <v>0</v>
      </c>
      <c r="T90" s="5">
        <v>1</v>
      </c>
      <c r="U90" t="s">
        <v>44</v>
      </c>
      <c r="V90" t="s">
        <v>366</v>
      </c>
      <c r="W90" s="5">
        <v>92</v>
      </c>
      <c r="X90" s="4">
        <v>165.36</v>
      </c>
      <c r="Y90" s="4">
        <v>147.53</v>
      </c>
      <c r="Z90" s="4">
        <v>312.89999999999998</v>
      </c>
      <c r="AA90" s="4">
        <f t="shared" si="3"/>
        <v>7.7346281421554464</v>
      </c>
      <c r="AB90" s="6">
        <f t="shared" si="4"/>
        <v>0.66923869999999996</v>
      </c>
      <c r="AC90" s="6">
        <f t="shared" si="5"/>
        <v>7.8224999999999998</v>
      </c>
    </row>
    <row r="91" spans="1:29">
      <c r="A91" t="s">
        <v>367</v>
      </c>
      <c r="B91" t="s">
        <v>368</v>
      </c>
      <c r="C91" s="3">
        <v>43796</v>
      </c>
      <c r="D91">
        <v>2019</v>
      </c>
      <c r="E91">
        <v>11</v>
      </c>
      <c r="F91" t="s">
        <v>302</v>
      </c>
      <c r="G91" s="4">
        <v>11.89049</v>
      </c>
      <c r="H91" s="4">
        <v>20</v>
      </c>
      <c r="I91" s="5">
        <v>1690</v>
      </c>
      <c r="J91" s="5">
        <v>132</v>
      </c>
      <c r="K91" t="s">
        <v>83</v>
      </c>
      <c r="L91" t="s">
        <v>83</v>
      </c>
      <c r="M91" t="s">
        <v>50</v>
      </c>
      <c r="N91" t="s">
        <v>50</v>
      </c>
      <c r="O91" t="s">
        <v>68</v>
      </c>
      <c r="P91" t="s">
        <v>68</v>
      </c>
      <c r="Q91" t="s">
        <v>42</v>
      </c>
      <c r="R91" t="s">
        <v>43</v>
      </c>
      <c r="S91" s="5">
        <v>0</v>
      </c>
      <c r="T91" s="5">
        <v>1</v>
      </c>
      <c r="U91" t="s">
        <v>44</v>
      </c>
      <c r="V91" t="s">
        <v>369</v>
      </c>
      <c r="W91" s="5">
        <v>92</v>
      </c>
      <c r="X91" s="4">
        <v>43.81</v>
      </c>
      <c r="Y91" s="4">
        <v>4.46</v>
      </c>
      <c r="Z91" s="4">
        <v>48.27</v>
      </c>
      <c r="AA91" s="4">
        <f t="shared" si="3"/>
        <v>7.0357928994082837</v>
      </c>
      <c r="AB91" s="6">
        <f t="shared" si="4"/>
        <v>0.59452450000000001</v>
      </c>
      <c r="AC91" s="6">
        <f t="shared" si="5"/>
        <v>2.4135</v>
      </c>
    </row>
    <row r="92" spans="1:29">
      <c r="A92" t="s">
        <v>370</v>
      </c>
      <c r="B92" t="s">
        <v>371</v>
      </c>
      <c r="C92" s="3">
        <v>43805</v>
      </c>
      <c r="D92">
        <v>2019</v>
      </c>
      <c r="E92">
        <v>12</v>
      </c>
      <c r="F92" t="s">
        <v>302</v>
      </c>
      <c r="G92" s="4">
        <v>0.65652999999999995</v>
      </c>
      <c r="H92" s="4">
        <v>75</v>
      </c>
      <c r="I92" s="5">
        <v>2337</v>
      </c>
      <c r="J92" s="5">
        <v>99</v>
      </c>
      <c r="K92" t="s">
        <v>48</v>
      </c>
      <c r="L92" t="s">
        <v>49</v>
      </c>
      <c r="M92" t="s">
        <v>72</v>
      </c>
      <c r="N92" t="s">
        <v>72</v>
      </c>
      <c r="O92" t="s">
        <v>161</v>
      </c>
      <c r="P92" t="s">
        <v>56</v>
      </c>
      <c r="Q92" t="s">
        <v>372</v>
      </c>
      <c r="R92" t="s">
        <v>64</v>
      </c>
      <c r="S92" s="5">
        <v>0</v>
      </c>
      <c r="T92" s="5">
        <v>1</v>
      </c>
      <c r="U92" t="s">
        <v>57</v>
      </c>
      <c r="V92" t="s">
        <v>373</v>
      </c>
      <c r="W92" s="5"/>
      <c r="X92" s="4"/>
      <c r="Y92" s="4"/>
      <c r="Z92" s="4"/>
      <c r="AA92" s="4">
        <f t="shared" si="3"/>
        <v>0.28092854086435598</v>
      </c>
      <c r="AB92" s="6">
        <f t="shared" si="4"/>
        <v>8.7537333333333328E-3</v>
      </c>
      <c r="AC92" s="6" t="str">
        <f t="shared" si="5"/>
        <v/>
      </c>
    </row>
    <row r="93" spans="1:29">
      <c r="A93" t="s">
        <v>374</v>
      </c>
      <c r="B93" t="s">
        <v>375</v>
      </c>
      <c r="C93" s="3">
        <v>43812</v>
      </c>
      <c r="D93">
        <v>2019</v>
      </c>
      <c r="E93">
        <v>12</v>
      </c>
      <c r="F93" t="s">
        <v>302</v>
      </c>
      <c r="G93" s="4">
        <v>4.2402449999999998</v>
      </c>
      <c r="H93" s="4">
        <v>5</v>
      </c>
      <c r="I93" s="5">
        <v>2625</v>
      </c>
      <c r="J93" s="5">
        <v>92</v>
      </c>
      <c r="K93" t="s">
        <v>38</v>
      </c>
      <c r="L93" t="s">
        <v>38</v>
      </c>
      <c r="M93" t="s">
        <v>39</v>
      </c>
      <c r="N93" t="s">
        <v>39</v>
      </c>
      <c r="O93" t="s">
        <v>68</v>
      </c>
      <c r="P93" t="s">
        <v>68</v>
      </c>
      <c r="Q93" t="s">
        <v>376</v>
      </c>
      <c r="R93" t="s">
        <v>64</v>
      </c>
      <c r="S93" s="5">
        <v>0</v>
      </c>
      <c r="T93" s="5">
        <v>1</v>
      </c>
      <c r="U93" t="s">
        <v>44</v>
      </c>
      <c r="V93" t="s">
        <v>377</v>
      </c>
      <c r="W93" s="5">
        <v>31</v>
      </c>
      <c r="X93" s="4">
        <v>10.43</v>
      </c>
      <c r="Y93" s="4">
        <v>8.1</v>
      </c>
      <c r="Z93" s="4">
        <v>18.53</v>
      </c>
      <c r="AA93" s="4">
        <f t="shared" si="3"/>
        <v>1.6153314285714286</v>
      </c>
      <c r="AB93" s="6">
        <f t="shared" si="4"/>
        <v>0.84804899999999994</v>
      </c>
      <c r="AC93" s="6">
        <f t="shared" si="5"/>
        <v>3.7060000000000004</v>
      </c>
    </row>
    <row r="94" spans="1:29">
      <c r="A94" t="s">
        <v>378</v>
      </c>
      <c r="B94" t="s">
        <v>379</v>
      </c>
      <c r="C94" s="3">
        <v>43812</v>
      </c>
      <c r="D94">
        <v>2019</v>
      </c>
      <c r="E94">
        <v>12</v>
      </c>
      <c r="F94" t="s">
        <v>302</v>
      </c>
      <c r="G94" s="4">
        <v>59.251542999999998</v>
      </c>
      <c r="H94" s="4">
        <v>125</v>
      </c>
      <c r="I94" s="5">
        <v>4227</v>
      </c>
      <c r="J94" s="5">
        <v>123</v>
      </c>
      <c r="K94" t="s">
        <v>38</v>
      </c>
      <c r="L94" t="s">
        <v>38</v>
      </c>
      <c r="M94" t="s">
        <v>72</v>
      </c>
      <c r="N94" t="s">
        <v>72</v>
      </c>
      <c r="O94" t="s">
        <v>40</v>
      </c>
      <c r="P94" t="s">
        <v>41</v>
      </c>
      <c r="Q94" t="s">
        <v>42</v>
      </c>
      <c r="R94" t="s">
        <v>43</v>
      </c>
      <c r="S94" s="5">
        <v>0</v>
      </c>
      <c r="T94" s="5">
        <v>1</v>
      </c>
      <c r="U94" t="s">
        <v>44</v>
      </c>
      <c r="V94" t="s">
        <v>380</v>
      </c>
      <c r="W94" s="5">
        <v>87</v>
      </c>
      <c r="X94" s="4">
        <v>316.83</v>
      </c>
      <c r="Y94" s="4">
        <v>478.53</v>
      </c>
      <c r="Z94" s="4">
        <v>795.36</v>
      </c>
      <c r="AA94" s="4">
        <f t="shared" si="3"/>
        <v>14.017398391294062</v>
      </c>
      <c r="AB94" s="6">
        <f t="shared" si="4"/>
        <v>0.47401234399999997</v>
      </c>
      <c r="AC94" s="6">
        <f t="shared" si="5"/>
        <v>6.3628800000000005</v>
      </c>
    </row>
    <row r="95" spans="1:29">
      <c r="A95" t="s">
        <v>381</v>
      </c>
      <c r="B95" t="s">
        <v>382</v>
      </c>
      <c r="C95" s="3">
        <v>43812</v>
      </c>
      <c r="D95">
        <v>2019</v>
      </c>
      <c r="E95">
        <v>12</v>
      </c>
      <c r="F95" t="s">
        <v>302</v>
      </c>
      <c r="G95" s="4">
        <v>4.7052649999999998</v>
      </c>
      <c r="H95" s="4">
        <v>45</v>
      </c>
      <c r="I95" s="5">
        <v>2502</v>
      </c>
      <c r="J95" s="5">
        <v>129</v>
      </c>
      <c r="K95" t="s">
        <v>83</v>
      </c>
      <c r="L95" t="s">
        <v>83</v>
      </c>
      <c r="M95" t="s">
        <v>50</v>
      </c>
      <c r="N95" t="s">
        <v>50</v>
      </c>
      <c r="O95" t="s">
        <v>140</v>
      </c>
      <c r="P95" t="s">
        <v>141</v>
      </c>
      <c r="Q95" t="s">
        <v>42</v>
      </c>
      <c r="R95" t="s">
        <v>43</v>
      </c>
      <c r="S95" s="5">
        <v>0</v>
      </c>
      <c r="T95" s="5">
        <v>1</v>
      </c>
      <c r="U95" t="s">
        <v>44</v>
      </c>
      <c r="V95" t="s">
        <v>383</v>
      </c>
      <c r="W95" s="5">
        <v>96</v>
      </c>
      <c r="X95" s="4">
        <v>22.35</v>
      </c>
      <c r="Y95" s="4">
        <v>22.3</v>
      </c>
      <c r="Z95" s="4">
        <v>44.65</v>
      </c>
      <c r="AA95" s="4">
        <f t="shared" si="3"/>
        <v>1.8806015187849718</v>
      </c>
      <c r="AB95" s="6">
        <f t="shared" si="4"/>
        <v>0.10456144444444444</v>
      </c>
      <c r="AC95" s="6">
        <f t="shared" si="5"/>
        <v>0.99222222222222223</v>
      </c>
    </row>
    <row r="96" spans="1:29">
      <c r="A96" t="s">
        <v>384</v>
      </c>
      <c r="B96" t="s">
        <v>385</v>
      </c>
      <c r="C96" s="3">
        <v>43819</v>
      </c>
      <c r="D96">
        <v>2019</v>
      </c>
      <c r="E96">
        <v>12</v>
      </c>
      <c r="F96" t="s">
        <v>302</v>
      </c>
      <c r="G96" s="4">
        <v>177.38386399999999</v>
      </c>
      <c r="H96" s="4">
        <v>275</v>
      </c>
      <c r="I96" s="5">
        <v>4406</v>
      </c>
      <c r="J96" s="5">
        <v>142</v>
      </c>
      <c r="K96" t="s">
        <v>38</v>
      </c>
      <c r="L96" t="s">
        <v>38</v>
      </c>
      <c r="M96" t="s">
        <v>72</v>
      </c>
      <c r="N96" t="s">
        <v>72</v>
      </c>
      <c r="O96" t="s">
        <v>107</v>
      </c>
      <c r="P96" t="s">
        <v>74</v>
      </c>
      <c r="Q96" t="s">
        <v>42</v>
      </c>
      <c r="R96" t="s">
        <v>43</v>
      </c>
      <c r="S96" s="5">
        <v>0</v>
      </c>
      <c r="T96" s="5">
        <v>1</v>
      </c>
      <c r="U96" t="s">
        <v>44</v>
      </c>
      <c r="V96" t="s">
        <v>386</v>
      </c>
      <c r="W96" s="5">
        <v>86</v>
      </c>
      <c r="X96" s="4">
        <v>515.20000000000005</v>
      </c>
      <c r="Y96" s="4">
        <v>554.75</v>
      </c>
      <c r="Z96" s="4">
        <v>1069.95</v>
      </c>
      <c r="AA96" s="4">
        <f t="shared" si="3"/>
        <v>40.259615070358599</v>
      </c>
      <c r="AB96" s="6">
        <f t="shared" si="4"/>
        <v>0.64503223272727273</v>
      </c>
      <c r="AC96" s="6">
        <f t="shared" si="5"/>
        <v>3.8907272727272728</v>
      </c>
    </row>
    <row r="97" spans="1:29">
      <c r="A97" t="s">
        <v>387</v>
      </c>
      <c r="B97" t="s">
        <v>388</v>
      </c>
      <c r="C97" s="3">
        <v>43824</v>
      </c>
      <c r="D97">
        <v>2019</v>
      </c>
      <c r="E97">
        <v>12</v>
      </c>
      <c r="F97" t="s">
        <v>302</v>
      </c>
      <c r="G97" s="4">
        <v>13.354798000000001</v>
      </c>
      <c r="H97" s="4">
        <v>100</v>
      </c>
      <c r="I97" s="5">
        <v>3502</v>
      </c>
      <c r="J97" s="5">
        <v>104</v>
      </c>
      <c r="K97" t="s">
        <v>48</v>
      </c>
      <c r="L97" t="s">
        <v>49</v>
      </c>
      <c r="M97" t="s">
        <v>72</v>
      </c>
      <c r="N97" t="s">
        <v>72</v>
      </c>
      <c r="O97" t="s">
        <v>73</v>
      </c>
      <c r="P97" t="s">
        <v>74</v>
      </c>
      <c r="Q97" t="s">
        <v>42</v>
      </c>
      <c r="R97" t="s">
        <v>43</v>
      </c>
      <c r="S97" s="5">
        <v>0</v>
      </c>
      <c r="T97" s="5">
        <v>1</v>
      </c>
      <c r="U97" t="s">
        <v>44</v>
      </c>
      <c r="V97" t="s">
        <v>389</v>
      </c>
      <c r="W97" s="5">
        <v>92</v>
      </c>
      <c r="X97" s="4">
        <v>66.760000000000005</v>
      </c>
      <c r="Y97" s="4">
        <v>98.37</v>
      </c>
      <c r="Z97" s="4">
        <v>165.12</v>
      </c>
      <c r="AA97" s="4">
        <f t="shared" si="3"/>
        <v>3.8134774414620218</v>
      </c>
      <c r="AB97" s="6">
        <f t="shared" si="4"/>
        <v>0.13354798000000001</v>
      </c>
      <c r="AC97" s="6">
        <f t="shared" si="5"/>
        <v>1.6512</v>
      </c>
    </row>
    <row r="98" spans="1:29">
      <c r="A98" t="s">
        <v>390</v>
      </c>
      <c r="B98" t="s">
        <v>391</v>
      </c>
      <c r="C98" s="3">
        <v>44568</v>
      </c>
      <c r="D98">
        <v>2022</v>
      </c>
      <c r="E98">
        <v>1</v>
      </c>
      <c r="F98" t="s">
        <v>37</v>
      </c>
      <c r="G98" s="4">
        <v>4.6217649999999999</v>
      </c>
      <c r="H98" s="4">
        <v>75</v>
      </c>
      <c r="I98" s="5">
        <v>3145</v>
      </c>
      <c r="J98" s="5">
        <v>124</v>
      </c>
      <c r="K98" t="s">
        <v>38</v>
      </c>
      <c r="L98" t="s">
        <v>38</v>
      </c>
      <c r="M98" t="s">
        <v>54</v>
      </c>
      <c r="N98" t="s">
        <v>54</v>
      </c>
      <c r="O98" t="s">
        <v>68</v>
      </c>
      <c r="P98" t="s">
        <v>68</v>
      </c>
      <c r="Q98" t="s">
        <v>42</v>
      </c>
      <c r="R98" t="s">
        <v>43</v>
      </c>
      <c r="S98" s="5">
        <v>0</v>
      </c>
      <c r="T98" s="5">
        <v>0</v>
      </c>
      <c r="U98" t="s">
        <v>44</v>
      </c>
      <c r="V98" t="s">
        <v>392</v>
      </c>
      <c r="W98" s="5">
        <v>86</v>
      </c>
      <c r="X98" s="4">
        <v>14.57</v>
      </c>
      <c r="Y98" s="4">
        <v>4.33</v>
      </c>
      <c r="Z98" s="4">
        <v>18.899999999999999</v>
      </c>
      <c r="AA98" s="4">
        <f t="shared" si="3"/>
        <v>1.4695596184419715</v>
      </c>
      <c r="AB98" s="6">
        <f t="shared" si="4"/>
        <v>6.1623533333333334E-2</v>
      </c>
      <c r="AC98" s="6">
        <f t="shared" si="5"/>
        <v>0.252</v>
      </c>
    </row>
    <row r="99" spans="1:29">
      <c r="A99" t="s">
        <v>393</v>
      </c>
      <c r="B99" t="s">
        <v>394</v>
      </c>
      <c r="C99" s="3">
        <v>44575</v>
      </c>
      <c r="D99">
        <v>2022</v>
      </c>
      <c r="E99">
        <v>1</v>
      </c>
      <c r="F99" t="s">
        <v>37</v>
      </c>
      <c r="G99" s="4">
        <v>30.018805</v>
      </c>
      <c r="H99" s="4">
        <v>24</v>
      </c>
      <c r="I99" s="5">
        <v>3664</v>
      </c>
      <c r="J99" s="5">
        <v>114</v>
      </c>
      <c r="K99" t="s">
        <v>83</v>
      </c>
      <c r="L99" t="s">
        <v>83</v>
      </c>
      <c r="M99" t="s">
        <v>39</v>
      </c>
      <c r="N99" t="s">
        <v>39</v>
      </c>
      <c r="O99" t="s">
        <v>95</v>
      </c>
      <c r="P99" t="s">
        <v>96</v>
      </c>
      <c r="Q99" t="s">
        <v>42</v>
      </c>
      <c r="R99" t="s">
        <v>43</v>
      </c>
      <c r="S99" s="5">
        <v>0</v>
      </c>
      <c r="T99" s="5">
        <v>0</v>
      </c>
      <c r="U99" t="s">
        <v>44</v>
      </c>
      <c r="V99" t="s">
        <v>395</v>
      </c>
      <c r="W99" s="5">
        <v>81</v>
      </c>
      <c r="X99" s="4">
        <v>81.64</v>
      </c>
      <c r="Y99" s="4">
        <v>57.23</v>
      </c>
      <c r="Z99" s="4">
        <v>138.87</v>
      </c>
      <c r="AA99" s="4">
        <f t="shared" si="3"/>
        <v>8.1929052947598251</v>
      </c>
      <c r="AB99" s="6">
        <f t="shared" si="4"/>
        <v>1.2507835416666666</v>
      </c>
      <c r="AC99" s="6">
        <f t="shared" si="5"/>
        <v>5.7862499999999999</v>
      </c>
    </row>
    <row r="100" spans="1:29">
      <c r="A100" t="s">
        <v>396</v>
      </c>
      <c r="B100" t="s">
        <v>397</v>
      </c>
      <c r="C100" s="3">
        <v>44582</v>
      </c>
      <c r="D100">
        <v>2022</v>
      </c>
      <c r="E100">
        <v>1</v>
      </c>
      <c r="F100" t="s">
        <v>37</v>
      </c>
      <c r="G100" s="4">
        <v>0.72315099999999999</v>
      </c>
      <c r="H100" s="4">
        <v>40.5</v>
      </c>
      <c r="I100" s="5">
        <v>2170</v>
      </c>
      <c r="J100" s="5">
        <v>91</v>
      </c>
      <c r="K100" t="s">
        <v>48</v>
      </c>
      <c r="L100" t="s">
        <v>49</v>
      </c>
      <c r="M100" t="s">
        <v>72</v>
      </c>
      <c r="N100" t="s">
        <v>72</v>
      </c>
      <c r="O100" t="s">
        <v>398</v>
      </c>
      <c r="P100" t="s">
        <v>56</v>
      </c>
      <c r="Q100" t="s">
        <v>42</v>
      </c>
      <c r="R100" t="s">
        <v>43</v>
      </c>
      <c r="S100" s="5">
        <v>0</v>
      </c>
      <c r="T100" s="5">
        <v>0</v>
      </c>
      <c r="U100" t="s">
        <v>44</v>
      </c>
      <c r="V100" t="s">
        <v>399</v>
      </c>
      <c r="W100" s="5">
        <v>80</v>
      </c>
      <c r="X100" s="4">
        <v>1.75</v>
      </c>
      <c r="Y100" s="4">
        <v>0.41</v>
      </c>
      <c r="Z100" s="4">
        <v>2.16</v>
      </c>
      <c r="AA100" s="4">
        <f t="shared" si="3"/>
        <v>0.33324930875576037</v>
      </c>
      <c r="AB100" s="6">
        <f t="shared" si="4"/>
        <v>1.7855580246913579E-2</v>
      </c>
      <c r="AC100" s="6">
        <f t="shared" si="5"/>
        <v>5.3333333333333337E-2</v>
      </c>
    </row>
    <row r="101" spans="1:29">
      <c r="A101" t="s">
        <v>400</v>
      </c>
      <c r="B101" t="s">
        <v>401</v>
      </c>
      <c r="C101" s="3">
        <v>44596</v>
      </c>
      <c r="D101">
        <v>2022</v>
      </c>
      <c r="E101">
        <v>2</v>
      </c>
      <c r="F101" t="s">
        <v>37</v>
      </c>
      <c r="G101" s="4">
        <v>9.8689970000000002</v>
      </c>
      <c r="H101" s="4">
        <v>150</v>
      </c>
      <c r="I101" s="5">
        <v>3446</v>
      </c>
      <c r="J101" s="5">
        <v>124</v>
      </c>
      <c r="K101" t="s">
        <v>38</v>
      </c>
      <c r="L101" t="s">
        <v>38</v>
      </c>
      <c r="M101" t="s">
        <v>61</v>
      </c>
      <c r="N101" t="s">
        <v>61</v>
      </c>
      <c r="O101" t="s">
        <v>84</v>
      </c>
      <c r="P101" t="s">
        <v>84</v>
      </c>
      <c r="Q101" t="s">
        <v>42</v>
      </c>
      <c r="R101" t="s">
        <v>43</v>
      </c>
      <c r="S101" s="5">
        <v>0</v>
      </c>
      <c r="T101" s="5">
        <v>0</v>
      </c>
      <c r="U101" t="s">
        <v>44</v>
      </c>
      <c r="V101" t="s">
        <v>402</v>
      </c>
      <c r="W101" s="5">
        <v>69</v>
      </c>
      <c r="X101" s="4">
        <v>19.059999999999999</v>
      </c>
      <c r="Y101" s="4">
        <v>39.99</v>
      </c>
      <c r="Z101" s="4">
        <v>59.05</v>
      </c>
      <c r="AA101" s="4">
        <f t="shared" si="3"/>
        <v>2.8638993035403364</v>
      </c>
      <c r="AB101" s="6">
        <f t="shared" si="4"/>
        <v>6.5793313333333339E-2</v>
      </c>
      <c r="AC101" s="6">
        <f t="shared" si="5"/>
        <v>0.39366666666666666</v>
      </c>
    </row>
    <row r="102" spans="1:29">
      <c r="A102" t="s">
        <v>403</v>
      </c>
      <c r="B102" t="s">
        <v>404</v>
      </c>
      <c r="C102" s="3">
        <v>44596</v>
      </c>
      <c r="D102">
        <v>2022</v>
      </c>
      <c r="E102">
        <v>2</v>
      </c>
      <c r="F102" t="s">
        <v>37</v>
      </c>
      <c r="G102" s="4">
        <v>23.154388000000001</v>
      </c>
      <c r="H102" s="4">
        <v>10</v>
      </c>
      <c r="I102" s="5">
        <v>3604</v>
      </c>
      <c r="J102" s="5">
        <v>96</v>
      </c>
      <c r="K102" t="s">
        <v>83</v>
      </c>
      <c r="L102" t="s">
        <v>83</v>
      </c>
      <c r="M102" t="s">
        <v>405</v>
      </c>
      <c r="N102" t="s">
        <v>56</v>
      </c>
      <c r="O102" t="s">
        <v>95</v>
      </c>
      <c r="P102" t="s">
        <v>96</v>
      </c>
      <c r="Q102" t="s">
        <v>42</v>
      </c>
      <c r="R102" t="s">
        <v>43</v>
      </c>
      <c r="S102" s="5">
        <v>0</v>
      </c>
      <c r="T102" s="5">
        <v>0</v>
      </c>
      <c r="U102" t="s">
        <v>44</v>
      </c>
      <c r="V102" t="s">
        <v>406</v>
      </c>
      <c r="W102" s="5">
        <v>91</v>
      </c>
      <c r="X102" s="4">
        <v>57.74</v>
      </c>
      <c r="Y102" s="4">
        <v>17.05</v>
      </c>
      <c r="Z102" s="4">
        <v>74.790000000000006</v>
      </c>
      <c r="AA102" s="4">
        <f t="shared" si="3"/>
        <v>6.4246359600443954</v>
      </c>
      <c r="AB102" s="6">
        <f t="shared" si="4"/>
        <v>2.3154387999999999</v>
      </c>
      <c r="AC102" s="6">
        <f t="shared" si="5"/>
        <v>7.479000000000001</v>
      </c>
    </row>
    <row r="103" spans="1:29">
      <c r="A103" t="s">
        <v>407</v>
      </c>
      <c r="B103" t="s">
        <v>408</v>
      </c>
      <c r="C103" s="3">
        <v>44603</v>
      </c>
      <c r="D103">
        <v>2022</v>
      </c>
      <c r="E103">
        <v>2</v>
      </c>
      <c r="F103" t="s">
        <v>37</v>
      </c>
      <c r="G103" s="4">
        <v>3.502475</v>
      </c>
      <c r="H103" s="4">
        <v>29</v>
      </c>
      <c r="I103" s="5">
        <v>2772</v>
      </c>
      <c r="J103" s="5">
        <v>108</v>
      </c>
      <c r="K103" t="s">
        <v>38</v>
      </c>
      <c r="L103" t="s">
        <v>38</v>
      </c>
      <c r="M103" t="s">
        <v>61</v>
      </c>
      <c r="N103" t="s">
        <v>61</v>
      </c>
      <c r="O103" t="s">
        <v>409</v>
      </c>
      <c r="P103" t="s">
        <v>56</v>
      </c>
      <c r="Q103" t="s">
        <v>42</v>
      </c>
      <c r="R103" t="s">
        <v>43</v>
      </c>
      <c r="S103" s="5">
        <v>0</v>
      </c>
      <c r="T103" s="5">
        <v>0</v>
      </c>
      <c r="U103" t="s">
        <v>44</v>
      </c>
      <c r="V103" t="s">
        <v>410</v>
      </c>
      <c r="W103" s="5">
        <v>82</v>
      </c>
      <c r="X103" s="4">
        <v>9.59</v>
      </c>
      <c r="Y103" s="4">
        <v>6.43</v>
      </c>
      <c r="Z103" s="4">
        <v>16.02</v>
      </c>
      <c r="AA103" s="4">
        <f t="shared" si="3"/>
        <v>1.2635191197691198</v>
      </c>
      <c r="AB103" s="6">
        <f t="shared" si="4"/>
        <v>0.12077499999999999</v>
      </c>
      <c r="AC103" s="6">
        <f t="shared" si="5"/>
        <v>0.55241379310344829</v>
      </c>
    </row>
    <row r="104" spans="1:29">
      <c r="A104" t="s">
        <v>411</v>
      </c>
      <c r="B104" t="s">
        <v>412</v>
      </c>
      <c r="C104" s="3">
        <v>44603</v>
      </c>
      <c r="D104">
        <v>2022</v>
      </c>
      <c r="E104">
        <v>2</v>
      </c>
      <c r="F104" t="s">
        <v>37</v>
      </c>
      <c r="G104" s="4">
        <v>12.891123</v>
      </c>
      <c r="H104" s="4">
        <v>90</v>
      </c>
      <c r="I104" s="5">
        <v>3280</v>
      </c>
      <c r="J104" s="5">
        <v>127</v>
      </c>
      <c r="K104" t="s">
        <v>38</v>
      </c>
      <c r="L104" t="s">
        <v>38</v>
      </c>
      <c r="M104" t="s">
        <v>50</v>
      </c>
      <c r="N104" t="s">
        <v>50</v>
      </c>
      <c r="O104" t="s">
        <v>413</v>
      </c>
      <c r="P104" t="s">
        <v>74</v>
      </c>
      <c r="Q104" t="s">
        <v>42</v>
      </c>
      <c r="R104" t="s">
        <v>43</v>
      </c>
      <c r="S104" s="5">
        <v>0</v>
      </c>
      <c r="T104" s="5">
        <v>0</v>
      </c>
      <c r="U104" t="s">
        <v>44</v>
      </c>
      <c r="V104" t="s">
        <v>414</v>
      </c>
      <c r="W104" s="5">
        <v>82</v>
      </c>
      <c r="X104" s="4">
        <v>45.63</v>
      </c>
      <c r="Y104" s="4">
        <v>84.67</v>
      </c>
      <c r="Z104" s="4">
        <v>130.30000000000001</v>
      </c>
      <c r="AA104" s="4">
        <f t="shared" si="3"/>
        <v>3.9302204268292682</v>
      </c>
      <c r="AB104" s="6">
        <f t="shared" si="4"/>
        <v>0.14323469999999999</v>
      </c>
      <c r="AC104" s="6">
        <f t="shared" si="5"/>
        <v>1.4477777777777778</v>
      </c>
    </row>
    <row r="105" spans="1:29">
      <c r="A105" t="s">
        <v>415</v>
      </c>
      <c r="B105" t="s">
        <v>416</v>
      </c>
      <c r="C105" s="3">
        <v>44610</v>
      </c>
      <c r="D105">
        <v>2022</v>
      </c>
      <c r="E105">
        <v>2</v>
      </c>
      <c r="F105" t="s">
        <v>37</v>
      </c>
      <c r="G105" s="4">
        <v>14.883927999999999</v>
      </c>
      <c r="H105" s="4">
        <v>15</v>
      </c>
      <c r="I105" s="5">
        <v>3677</v>
      </c>
      <c r="J105" s="5">
        <v>101</v>
      </c>
      <c r="K105" t="s">
        <v>38</v>
      </c>
      <c r="L105" t="s">
        <v>38</v>
      </c>
      <c r="M105" t="s">
        <v>50</v>
      </c>
      <c r="N105" t="s">
        <v>50</v>
      </c>
      <c r="O105" t="s">
        <v>172</v>
      </c>
      <c r="P105" t="s">
        <v>56</v>
      </c>
      <c r="Q105" t="s">
        <v>42</v>
      </c>
      <c r="R105" t="s">
        <v>43</v>
      </c>
      <c r="S105" s="5">
        <v>0</v>
      </c>
      <c r="T105" s="5">
        <v>0</v>
      </c>
      <c r="U105" t="s">
        <v>44</v>
      </c>
      <c r="V105" t="s">
        <v>417</v>
      </c>
      <c r="W105" s="5">
        <v>89</v>
      </c>
      <c r="X105" s="4">
        <v>61.78</v>
      </c>
      <c r="Y105" s="4">
        <v>22.77</v>
      </c>
      <c r="Z105" s="4">
        <v>84.54</v>
      </c>
      <c r="AA105" s="4">
        <f t="shared" si="3"/>
        <v>4.0478455262442212</v>
      </c>
      <c r="AB105" s="6">
        <f t="shared" si="4"/>
        <v>0.9922618666666666</v>
      </c>
      <c r="AC105" s="6">
        <f t="shared" si="5"/>
        <v>5.6360000000000001</v>
      </c>
    </row>
    <row r="106" spans="1:29">
      <c r="A106" t="s">
        <v>418</v>
      </c>
      <c r="B106" t="s">
        <v>419</v>
      </c>
      <c r="C106" s="3">
        <v>44610</v>
      </c>
      <c r="D106">
        <v>2022</v>
      </c>
      <c r="E106">
        <v>2</v>
      </c>
      <c r="F106" t="s">
        <v>37</v>
      </c>
      <c r="G106" s="4">
        <v>44.010154999999997</v>
      </c>
      <c r="H106" s="4">
        <v>120</v>
      </c>
      <c r="I106" s="5">
        <v>4275</v>
      </c>
      <c r="J106" s="5">
        <v>116</v>
      </c>
      <c r="K106" t="s">
        <v>38</v>
      </c>
      <c r="L106" t="s">
        <v>38</v>
      </c>
      <c r="M106" t="s">
        <v>72</v>
      </c>
      <c r="N106" t="s">
        <v>72</v>
      </c>
      <c r="O106" t="s">
        <v>40</v>
      </c>
      <c r="P106" t="s">
        <v>41</v>
      </c>
      <c r="Q106" t="s">
        <v>42</v>
      </c>
      <c r="R106" t="s">
        <v>43</v>
      </c>
      <c r="S106" s="5">
        <v>0</v>
      </c>
      <c r="T106" s="5">
        <v>0</v>
      </c>
      <c r="U106" t="s">
        <v>44</v>
      </c>
      <c r="V106" t="s">
        <v>420</v>
      </c>
      <c r="W106" s="5">
        <v>89</v>
      </c>
      <c r="X106" s="4">
        <v>148.65</v>
      </c>
      <c r="Y106" s="4">
        <v>252.04</v>
      </c>
      <c r="Z106" s="4">
        <v>400.69</v>
      </c>
      <c r="AA106" s="4">
        <f t="shared" si="3"/>
        <v>10.294773099415204</v>
      </c>
      <c r="AB106" s="6">
        <f t="shared" si="4"/>
        <v>0.36675129166666665</v>
      </c>
      <c r="AC106" s="6">
        <f t="shared" si="5"/>
        <v>3.3390833333333334</v>
      </c>
    </row>
    <row r="107" spans="1:29">
      <c r="A107" t="s">
        <v>421</v>
      </c>
      <c r="B107" t="s">
        <v>422</v>
      </c>
      <c r="C107" s="3">
        <v>44638</v>
      </c>
      <c r="D107">
        <v>2022</v>
      </c>
      <c r="E107">
        <v>3</v>
      </c>
      <c r="F107" t="s">
        <v>37</v>
      </c>
      <c r="G107" s="4">
        <v>1.49973</v>
      </c>
      <c r="H107" s="4">
        <v>5</v>
      </c>
      <c r="I107" s="5">
        <v>1324</v>
      </c>
      <c r="J107" s="5">
        <v>105</v>
      </c>
      <c r="K107" t="s">
        <v>83</v>
      </c>
      <c r="L107" t="s">
        <v>83</v>
      </c>
      <c r="M107" t="s">
        <v>50</v>
      </c>
      <c r="N107" t="s">
        <v>50</v>
      </c>
      <c r="O107" t="s">
        <v>111</v>
      </c>
      <c r="P107" t="s">
        <v>68</v>
      </c>
      <c r="Q107" t="s">
        <v>42</v>
      </c>
      <c r="R107" t="s">
        <v>43</v>
      </c>
      <c r="S107" s="5">
        <v>0</v>
      </c>
      <c r="T107" s="5">
        <v>0</v>
      </c>
      <c r="U107" t="s">
        <v>44</v>
      </c>
      <c r="V107" t="s">
        <v>423</v>
      </c>
      <c r="W107" s="5">
        <v>92</v>
      </c>
      <c r="X107" s="4">
        <v>3.34</v>
      </c>
      <c r="Y107" s="4">
        <v>1.05</v>
      </c>
      <c r="Z107" s="4">
        <v>4.3899999999999997</v>
      </c>
      <c r="AA107" s="4">
        <f t="shared" si="3"/>
        <v>1.1327265861027191</v>
      </c>
      <c r="AB107" s="6">
        <f t="shared" si="4"/>
        <v>0.29994599999999999</v>
      </c>
      <c r="AC107" s="6">
        <f t="shared" si="5"/>
        <v>0.87799999999999989</v>
      </c>
    </row>
    <row r="108" spans="1:29">
      <c r="A108" t="s">
        <v>424</v>
      </c>
      <c r="B108" t="s">
        <v>425</v>
      </c>
      <c r="C108" s="3">
        <v>44638</v>
      </c>
      <c r="D108">
        <v>2022</v>
      </c>
      <c r="E108">
        <v>3</v>
      </c>
      <c r="F108" t="s">
        <v>37</v>
      </c>
      <c r="G108" s="4">
        <v>4.2751260000000002</v>
      </c>
      <c r="H108" s="4">
        <v>1</v>
      </c>
      <c r="I108" s="5">
        <v>2865</v>
      </c>
      <c r="J108" s="5">
        <v>105</v>
      </c>
      <c r="K108" t="s">
        <v>83</v>
      </c>
      <c r="L108" t="s">
        <v>83</v>
      </c>
      <c r="M108" t="s">
        <v>39</v>
      </c>
      <c r="N108" t="s">
        <v>39</v>
      </c>
      <c r="O108" t="s">
        <v>226</v>
      </c>
      <c r="P108" t="s">
        <v>56</v>
      </c>
      <c r="Q108" t="s">
        <v>42</v>
      </c>
      <c r="R108" t="s">
        <v>43</v>
      </c>
      <c r="S108" s="5">
        <v>0</v>
      </c>
      <c r="T108" s="5">
        <v>0</v>
      </c>
      <c r="U108" t="s">
        <v>44</v>
      </c>
      <c r="V108" t="s">
        <v>426</v>
      </c>
      <c r="W108" s="5">
        <v>76</v>
      </c>
      <c r="X108" s="4">
        <v>11.77</v>
      </c>
      <c r="Y108" s="4">
        <v>3.34</v>
      </c>
      <c r="Z108" s="4">
        <v>15.11</v>
      </c>
      <c r="AA108" s="4">
        <f t="shared" si="3"/>
        <v>1.4921905759162304</v>
      </c>
      <c r="AB108" s="6">
        <f t="shared" si="4"/>
        <v>4.2751260000000002</v>
      </c>
      <c r="AC108" s="6">
        <f t="shared" si="5"/>
        <v>15.11</v>
      </c>
    </row>
    <row r="109" spans="1:29">
      <c r="A109" t="s">
        <v>427</v>
      </c>
      <c r="B109" t="s">
        <v>428</v>
      </c>
      <c r="C109" s="3">
        <v>44645</v>
      </c>
      <c r="D109">
        <v>2022</v>
      </c>
      <c r="E109">
        <v>3</v>
      </c>
      <c r="F109" t="s">
        <v>37</v>
      </c>
      <c r="G109" s="4">
        <v>30.453268999999999</v>
      </c>
      <c r="H109" s="4">
        <v>74</v>
      </c>
      <c r="I109" s="5">
        <v>4253</v>
      </c>
      <c r="J109" s="5">
        <v>112</v>
      </c>
      <c r="K109" t="s">
        <v>38</v>
      </c>
      <c r="L109" t="s">
        <v>38</v>
      </c>
      <c r="M109" t="s">
        <v>72</v>
      </c>
      <c r="N109" t="s">
        <v>72</v>
      </c>
      <c r="O109" t="s">
        <v>95</v>
      </c>
      <c r="P109" t="s">
        <v>96</v>
      </c>
      <c r="Q109" t="s">
        <v>42</v>
      </c>
      <c r="R109" t="s">
        <v>43</v>
      </c>
      <c r="S109" s="5">
        <v>0</v>
      </c>
      <c r="T109" s="5">
        <v>0</v>
      </c>
      <c r="U109" t="s">
        <v>44</v>
      </c>
      <c r="V109" t="s">
        <v>429</v>
      </c>
      <c r="W109" s="5">
        <v>83</v>
      </c>
      <c r="X109" s="4">
        <v>105.34</v>
      </c>
      <c r="Y109" s="4">
        <v>86.98</v>
      </c>
      <c r="Z109" s="4">
        <v>192.33</v>
      </c>
      <c r="AA109" s="4">
        <f t="shared" si="3"/>
        <v>7.1604206442511167</v>
      </c>
      <c r="AB109" s="6">
        <f t="shared" si="4"/>
        <v>0.41153066216216216</v>
      </c>
      <c r="AC109" s="6">
        <f t="shared" si="5"/>
        <v>2.5990540540540543</v>
      </c>
    </row>
    <row r="110" spans="1:29">
      <c r="A110" t="s">
        <v>430</v>
      </c>
      <c r="B110" t="s">
        <v>431</v>
      </c>
      <c r="C110" s="3">
        <v>44652</v>
      </c>
      <c r="D110">
        <v>2022</v>
      </c>
      <c r="E110">
        <v>4</v>
      </c>
      <c r="F110" t="s">
        <v>136</v>
      </c>
      <c r="G110" s="4">
        <v>39.005895000000002</v>
      </c>
      <c r="H110" s="4">
        <v>75</v>
      </c>
      <c r="I110" s="5">
        <v>4268</v>
      </c>
      <c r="J110" s="5">
        <v>108</v>
      </c>
      <c r="K110" t="s">
        <v>38</v>
      </c>
      <c r="L110" t="s">
        <v>38</v>
      </c>
      <c r="M110" t="s">
        <v>61</v>
      </c>
      <c r="N110" t="s">
        <v>61</v>
      </c>
      <c r="O110" t="s">
        <v>40</v>
      </c>
      <c r="P110" t="s">
        <v>41</v>
      </c>
      <c r="Q110" t="s">
        <v>42</v>
      </c>
      <c r="R110" t="s">
        <v>43</v>
      </c>
      <c r="S110" s="5">
        <v>0</v>
      </c>
      <c r="T110" s="5">
        <v>0</v>
      </c>
      <c r="U110" t="s">
        <v>44</v>
      </c>
      <c r="V110" t="s">
        <v>432</v>
      </c>
      <c r="W110" s="5">
        <v>71</v>
      </c>
      <c r="X110" s="4">
        <v>73.87</v>
      </c>
      <c r="Y110" s="4">
        <v>88.89</v>
      </c>
      <c r="Z110" s="4">
        <v>162.76</v>
      </c>
      <c r="AA110" s="4">
        <f t="shared" si="3"/>
        <v>9.1391506560449862</v>
      </c>
      <c r="AB110" s="6">
        <f t="shared" si="4"/>
        <v>0.52007860000000006</v>
      </c>
      <c r="AC110" s="6">
        <f t="shared" si="5"/>
        <v>2.1701333333333332</v>
      </c>
    </row>
    <row r="111" spans="1:29">
      <c r="A111" t="s">
        <v>433</v>
      </c>
      <c r="B111" t="s">
        <v>434</v>
      </c>
      <c r="C111" s="3">
        <v>44659</v>
      </c>
      <c r="D111">
        <v>2022</v>
      </c>
      <c r="E111">
        <v>4</v>
      </c>
      <c r="F111" t="s">
        <v>136</v>
      </c>
      <c r="G111" s="4">
        <v>8.6996300000000009</v>
      </c>
      <c r="H111" s="4">
        <v>40</v>
      </c>
      <c r="I111" s="5">
        <v>3412</v>
      </c>
      <c r="J111" s="5">
        <v>136</v>
      </c>
      <c r="K111" t="s">
        <v>83</v>
      </c>
      <c r="L111" t="s">
        <v>83</v>
      </c>
      <c r="M111" t="s">
        <v>54</v>
      </c>
      <c r="N111" t="s">
        <v>54</v>
      </c>
      <c r="O111" t="s">
        <v>68</v>
      </c>
      <c r="P111" t="s">
        <v>68</v>
      </c>
      <c r="Q111" t="s">
        <v>42</v>
      </c>
      <c r="R111" t="s">
        <v>43</v>
      </c>
      <c r="S111" s="5">
        <v>0</v>
      </c>
      <c r="T111" s="5">
        <v>0</v>
      </c>
      <c r="U111" t="s">
        <v>44</v>
      </c>
      <c r="V111" t="s">
        <v>435</v>
      </c>
      <c r="W111" s="5">
        <v>87</v>
      </c>
      <c r="X111" s="4">
        <v>22.78</v>
      </c>
      <c r="Y111" s="4">
        <v>29.4</v>
      </c>
      <c r="Z111" s="4">
        <v>52.18</v>
      </c>
      <c r="AA111" s="4">
        <f t="shared" si="3"/>
        <v>2.5497157092614304</v>
      </c>
      <c r="AB111" s="6">
        <f t="shared" si="4"/>
        <v>0.21749075000000001</v>
      </c>
      <c r="AC111" s="6">
        <f t="shared" si="5"/>
        <v>1.3045</v>
      </c>
    </row>
    <row r="112" spans="1:29">
      <c r="A112" t="s">
        <v>436</v>
      </c>
      <c r="B112" t="s">
        <v>437</v>
      </c>
      <c r="C112" s="3">
        <v>44659</v>
      </c>
      <c r="D112">
        <v>2022</v>
      </c>
      <c r="E112">
        <v>4</v>
      </c>
      <c r="F112" t="s">
        <v>136</v>
      </c>
      <c r="G112" s="4">
        <v>72.105176</v>
      </c>
      <c r="H112" s="4">
        <v>90</v>
      </c>
      <c r="I112" s="5">
        <v>4234</v>
      </c>
      <c r="J112" s="5">
        <v>122</v>
      </c>
      <c r="K112" t="s">
        <v>48</v>
      </c>
      <c r="L112" t="s">
        <v>49</v>
      </c>
      <c r="M112" t="s">
        <v>72</v>
      </c>
      <c r="N112" t="s">
        <v>72</v>
      </c>
      <c r="O112" t="s">
        <v>95</v>
      </c>
      <c r="P112" t="s">
        <v>96</v>
      </c>
      <c r="Q112" t="s">
        <v>165</v>
      </c>
      <c r="R112" t="s">
        <v>64</v>
      </c>
      <c r="S112" s="5">
        <v>0</v>
      </c>
      <c r="T112" s="5">
        <v>0</v>
      </c>
      <c r="U112" t="s">
        <v>44</v>
      </c>
      <c r="V112" t="s">
        <v>438</v>
      </c>
      <c r="W112" s="5">
        <v>96</v>
      </c>
      <c r="X112" s="4">
        <v>190.87</v>
      </c>
      <c r="Y112" s="4">
        <v>212.95</v>
      </c>
      <c r="Z112" s="4">
        <v>403.82</v>
      </c>
      <c r="AA112" s="4">
        <f t="shared" si="3"/>
        <v>17.030036844591404</v>
      </c>
      <c r="AB112" s="6">
        <f t="shared" si="4"/>
        <v>0.80116862222222218</v>
      </c>
      <c r="AC112" s="6">
        <f t="shared" si="5"/>
        <v>4.4868888888888891</v>
      </c>
    </row>
    <row r="113" spans="1:29">
      <c r="A113" t="s">
        <v>439</v>
      </c>
      <c r="B113" t="s">
        <v>440</v>
      </c>
      <c r="C113" s="3">
        <v>44664</v>
      </c>
      <c r="D113">
        <v>2022</v>
      </c>
      <c r="E113">
        <v>4</v>
      </c>
      <c r="F113" t="s">
        <v>136</v>
      </c>
      <c r="G113" s="4">
        <v>5.4026420000000002</v>
      </c>
      <c r="H113" s="4">
        <v>4</v>
      </c>
      <c r="I113" s="5">
        <v>2705</v>
      </c>
      <c r="J113" s="5">
        <v>124</v>
      </c>
      <c r="K113" t="s">
        <v>83</v>
      </c>
      <c r="L113" t="s">
        <v>83</v>
      </c>
      <c r="M113" t="s">
        <v>50</v>
      </c>
      <c r="N113" t="s">
        <v>50</v>
      </c>
      <c r="O113" t="s">
        <v>40</v>
      </c>
      <c r="P113" t="s">
        <v>41</v>
      </c>
      <c r="Q113" t="s">
        <v>42</v>
      </c>
      <c r="R113" t="s">
        <v>43</v>
      </c>
      <c r="S113" s="5">
        <v>0</v>
      </c>
      <c r="T113" s="5">
        <v>0</v>
      </c>
      <c r="U113" t="s">
        <v>44</v>
      </c>
      <c r="V113" t="s">
        <v>441</v>
      </c>
      <c r="W113" s="5">
        <v>95</v>
      </c>
      <c r="X113" s="4">
        <v>21.1</v>
      </c>
      <c r="Y113" s="4">
        <v>0.89</v>
      </c>
      <c r="Z113" s="4">
        <v>21.99</v>
      </c>
      <c r="AA113" s="4">
        <f t="shared" si="3"/>
        <v>1.9972798521256931</v>
      </c>
      <c r="AB113" s="6">
        <f t="shared" si="4"/>
        <v>1.3506605</v>
      </c>
      <c r="AC113" s="6">
        <f t="shared" si="5"/>
        <v>5.4974999999999996</v>
      </c>
    </row>
    <row r="114" spans="1:29">
      <c r="A114" t="s">
        <v>442</v>
      </c>
      <c r="B114" t="s">
        <v>443</v>
      </c>
      <c r="C114" s="3">
        <v>44666</v>
      </c>
      <c r="D114">
        <v>2022</v>
      </c>
      <c r="E114">
        <v>4</v>
      </c>
      <c r="F114" t="s">
        <v>136</v>
      </c>
      <c r="G114" s="4">
        <v>42.151255999999997</v>
      </c>
      <c r="H114" s="4">
        <v>200</v>
      </c>
      <c r="I114" s="5">
        <v>4208</v>
      </c>
      <c r="J114" s="5"/>
      <c r="K114" t="s">
        <v>38</v>
      </c>
      <c r="L114" t="s">
        <v>38</v>
      </c>
      <c r="M114" t="s">
        <v>72</v>
      </c>
      <c r="N114" t="s">
        <v>72</v>
      </c>
      <c r="O114" t="s">
        <v>140</v>
      </c>
      <c r="P114" t="s">
        <v>141</v>
      </c>
      <c r="Q114" t="s">
        <v>42</v>
      </c>
      <c r="R114" t="s">
        <v>43</v>
      </c>
      <c r="S114" s="5">
        <v>0</v>
      </c>
      <c r="T114" s="5">
        <v>0</v>
      </c>
      <c r="U114" t="s">
        <v>44</v>
      </c>
      <c r="V114" t="s">
        <v>444</v>
      </c>
      <c r="W114" s="5">
        <v>83</v>
      </c>
      <c r="X114" s="4">
        <v>95.85</v>
      </c>
      <c r="Y114" s="4">
        <v>311.3</v>
      </c>
      <c r="Z114" s="4">
        <v>407.15</v>
      </c>
      <c r="AA114" s="4">
        <f t="shared" si="3"/>
        <v>10.016933460076045</v>
      </c>
      <c r="AB114" s="6">
        <f t="shared" si="4"/>
        <v>0.21075627999999999</v>
      </c>
      <c r="AC114" s="6">
        <f t="shared" si="5"/>
        <v>2.0357499999999997</v>
      </c>
    </row>
    <row r="115" spans="1:29">
      <c r="A115" t="s">
        <v>445</v>
      </c>
      <c r="B115" t="s">
        <v>446</v>
      </c>
      <c r="C115" s="3">
        <v>44673</v>
      </c>
      <c r="D115">
        <v>2022</v>
      </c>
      <c r="E115">
        <v>4</v>
      </c>
      <c r="F115" t="s">
        <v>136</v>
      </c>
      <c r="G115" s="4">
        <v>23.950244999999999</v>
      </c>
      <c r="H115" s="4">
        <v>70</v>
      </c>
      <c r="I115" s="5">
        <v>4009</v>
      </c>
      <c r="J115" s="5">
        <v>100</v>
      </c>
      <c r="K115" t="s">
        <v>48</v>
      </c>
      <c r="L115" t="s">
        <v>49</v>
      </c>
      <c r="M115" t="s">
        <v>94</v>
      </c>
      <c r="N115" t="s">
        <v>94</v>
      </c>
      <c r="O115" t="s">
        <v>68</v>
      </c>
      <c r="P115" t="s">
        <v>68</v>
      </c>
      <c r="Q115" t="s">
        <v>42</v>
      </c>
      <c r="R115" t="s">
        <v>43</v>
      </c>
      <c r="S115" s="5">
        <v>0</v>
      </c>
      <c r="T115" s="5">
        <v>0</v>
      </c>
      <c r="U115" t="s">
        <v>44</v>
      </c>
      <c r="V115" t="s">
        <v>447</v>
      </c>
      <c r="W115" s="5">
        <v>93</v>
      </c>
      <c r="X115" s="4">
        <v>97.46</v>
      </c>
      <c r="Y115" s="4">
        <v>153.44</v>
      </c>
      <c r="Z115" s="4">
        <v>250.9</v>
      </c>
      <c r="AA115" s="4">
        <f t="shared" si="3"/>
        <v>5.9741194811673735</v>
      </c>
      <c r="AB115" s="6">
        <f t="shared" si="4"/>
        <v>0.34214635714285713</v>
      </c>
      <c r="AC115" s="6">
        <f t="shared" si="5"/>
        <v>3.5842857142857145</v>
      </c>
    </row>
    <row r="116" spans="1:29">
      <c r="A116" t="s">
        <v>448</v>
      </c>
      <c r="B116" t="s">
        <v>449</v>
      </c>
      <c r="C116" s="3">
        <v>44673</v>
      </c>
      <c r="D116">
        <v>2022</v>
      </c>
      <c r="E116">
        <v>4</v>
      </c>
      <c r="F116" t="s">
        <v>136</v>
      </c>
      <c r="G116" s="4">
        <v>7.1317029999999999</v>
      </c>
      <c r="H116" s="4">
        <v>30</v>
      </c>
      <c r="I116" s="5">
        <v>3036</v>
      </c>
      <c r="J116" s="5"/>
      <c r="K116" t="s">
        <v>83</v>
      </c>
      <c r="L116" t="s">
        <v>83</v>
      </c>
      <c r="M116" t="s">
        <v>61</v>
      </c>
      <c r="N116" t="s">
        <v>61</v>
      </c>
      <c r="O116" t="s">
        <v>84</v>
      </c>
      <c r="P116" t="s">
        <v>84</v>
      </c>
      <c r="Q116" t="s">
        <v>42</v>
      </c>
      <c r="R116" t="s">
        <v>43</v>
      </c>
      <c r="S116" s="5">
        <v>0</v>
      </c>
      <c r="T116" s="5">
        <v>0</v>
      </c>
      <c r="U116" t="s">
        <v>44</v>
      </c>
      <c r="V116" t="s">
        <v>450</v>
      </c>
      <c r="W116" s="5">
        <v>87</v>
      </c>
      <c r="X116" s="4">
        <v>20.3</v>
      </c>
      <c r="Y116" s="4">
        <v>8.82</v>
      </c>
      <c r="Z116" s="4">
        <v>29.12</v>
      </c>
      <c r="AA116" s="4">
        <f t="shared" si="3"/>
        <v>2.3490457839262184</v>
      </c>
      <c r="AB116" s="6">
        <f t="shared" si="4"/>
        <v>0.23772343333333332</v>
      </c>
      <c r="AC116" s="6">
        <f t="shared" si="5"/>
        <v>0.97066666666666668</v>
      </c>
    </row>
    <row r="117" spans="1:29">
      <c r="A117" t="s">
        <v>451</v>
      </c>
      <c r="B117" t="s">
        <v>452</v>
      </c>
      <c r="C117" s="3">
        <v>44701</v>
      </c>
      <c r="D117">
        <v>2022</v>
      </c>
      <c r="E117">
        <v>5</v>
      </c>
      <c r="F117" t="s">
        <v>136</v>
      </c>
      <c r="G117" s="4">
        <v>3.2930299999999999</v>
      </c>
      <c r="H117" s="4">
        <v>6.5</v>
      </c>
      <c r="I117" s="5">
        <v>2212</v>
      </c>
      <c r="J117" s="5">
        <v>100</v>
      </c>
      <c r="K117" t="s">
        <v>83</v>
      </c>
      <c r="L117" t="s">
        <v>83</v>
      </c>
      <c r="M117" t="s">
        <v>39</v>
      </c>
      <c r="N117" t="s">
        <v>39</v>
      </c>
      <c r="O117" t="s">
        <v>226</v>
      </c>
      <c r="P117" t="s">
        <v>56</v>
      </c>
      <c r="Q117" t="s">
        <v>75</v>
      </c>
      <c r="R117" t="s">
        <v>64</v>
      </c>
      <c r="S117" s="5">
        <v>1</v>
      </c>
      <c r="T117" s="5">
        <v>0</v>
      </c>
      <c r="U117" t="s">
        <v>57</v>
      </c>
      <c r="V117" t="s">
        <v>453</v>
      </c>
      <c r="W117" s="5"/>
      <c r="X117" s="4"/>
      <c r="Y117" s="4"/>
      <c r="Z117" s="4"/>
      <c r="AA117" s="4">
        <f t="shared" si="3"/>
        <v>1.4887115732368896</v>
      </c>
      <c r="AB117" s="6">
        <f t="shared" si="4"/>
        <v>0.50661999999999996</v>
      </c>
      <c r="AC117" s="6" t="str">
        <f t="shared" si="5"/>
        <v/>
      </c>
    </row>
    <row r="118" spans="1:29">
      <c r="A118" t="s">
        <v>454</v>
      </c>
      <c r="B118" t="s">
        <v>455</v>
      </c>
      <c r="C118" s="3">
        <v>44708</v>
      </c>
      <c r="D118">
        <v>2022</v>
      </c>
      <c r="E118">
        <v>5</v>
      </c>
      <c r="F118" t="s">
        <v>136</v>
      </c>
      <c r="G118" s="4">
        <v>126.707459</v>
      </c>
      <c r="H118" s="4">
        <v>177</v>
      </c>
      <c r="I118" s="5">
        <v>4735</v>
      </c>
      <c r="J118" s="5">
        <v>131</v>
      </c>
      <c r="K118" t="s">
        <v>38</v>
      </c>
      <c r="L118" t="s">
        <v>38</v>
      </c>
      <c r="M118" t="s">
        <v>61</v>
      </c>
      <c r="N118" t="s">
        <v>61</v>
      </c>
      <c r="O118" t="s">
        <v>95</v>
      </c>
      <c r="P118" t="s">
        <v>96</v>
      </c>
      <c r="Q118" t="s">
        <v>42</v>
      </c>
      <c r="R118" t="s">
        <v>43</v>
      </c>
      <c r="S118" s="5">
        <v>1</v>
      </c>
      <c r="T118" s="5">
        <v>0</v>
      </c>
      <c r="U118" t="s">
        <v>44</v>
      </c>
      <c r="V118" t="s">
        <v>456</v>
      </c>
      <c r="W118" s="5">
        <v>99</v>
      </c>
      <c r="X118" s="4">
        <v>718.73</v>
      </c>
      <c r="Y118" s="4">
        <v>735.59</v>
      </c>
      <c r="Z118" s="4">
        <v>1454.33</v>
      </c>
      <c r="AA118" s="4">
        <f t="shared" si="3"/>
        <v>26.759759028511088</v>
      </c>
      <c r="AB118" s="6">
        <f t="shared" si="4"/>
        <v>0.71586135028248588</v>
      </c>
      <c r="AC118" s="6">
        <f t="shared" si="5"/>
        <v>8.2165536723163832</v>
      </c>
    </row>
    <row r="119" spans="1:29">
      <c r="A119" t="s">
        <v>457</v>
      </c>
      <c r="B119" t="s">
        <v>458</v>
      </c>
      <c r="C119" s="3">
        <v>44722</v>
      </c>
      <c r="D119">
        <v>2022</v>
      </c>
      <c r="E119">
        <v>6</v>
      </c>
      <c r="F119" t="s">
        <v>136</v>
      </c>
      <c r="G119" s="4">
        <v>145.075625</v>
      </c>
      <c r="H119" s="4">
        <v>185</v>
      </c>
      <c r="I119" s="5">
        <v>4676</v>
      </c>
      <c r="J119" s="5">
        <v>146</v>
      </c>
      <c r="K119" t="s">
        <v>38</v>
      </c>
      <c r="L119" t="s">
        <v>38</v>
      </c>
      <c r="M119" t="s">
        <v>61</v>
      </c>
      <c r="N119" t="s">
        <v>61</v>
      </c>
      <c r="O119" t="s">
        <v>68</v>
      </c>
      <c r="P119" t="s">
        <v>68</v>
      </c>
      <c r="Q119" t="s">
        <v>42</v>
      </c>
      <c r="R119" t="s">
        <v>43</v>
      </c>
      <c r="S119" s="5">
        <v>1</v>
      </c>
      <c r="T119" s="5">
        <v>0</v>
      </c>
      <c r="U119" t="s">
        <v>44</v>
      </c>
      <c r="V119" t="s">
        <v>459</v>
      </c>
      <c r="W119" s="5">
        <v>77</v>
      </c>
      <c r="X119" s="4">
        <v>376.85</v>
      </c>
      <c r="Y119" s="4">
        <v>627.15</v>
      </c>
      <c r="Z119" s="4">
        <v>1004</v>
      </c>
      <c r="AA119" s="4">
        <f t="shared" si="3"/>
        <v>31.025582763045339</v>
      </c>
      <c r="AB119" s="6">
        <f t="shared" si="4"/>
        <v>0.78419256756756761</v>
      </c>
      <c r="AC119" s="6">
        <f t="shared" si="5"/>
        <v>5.4270270270270267</v>
      </c>
    </row>
    <row r="120" spans="1:29">
      <c r="A120" t="s">
        <v>460</v>
      </c>
      <c r="B120" t="s">
        <v>461</v>
      </c>
      <c r="C120" s="3">
        <v>44729</v>
      </c>
      <c r="D120">
        <v>2022</v>
      </c>
      <c r="E120">
        <v>6</v>
      </c>
      <c r="F120" t="s">
        <v>136</v>
      </c>
      <c r="G120" s="4">
        <v>50.577961000000002</v>
      </c>
      <c r="H120" s="4">
        <v>200</v>
      </c>
      <c r="I120" s="5">
        <v>4255</v>
      </c>
      <c r="J120" s="5">
        <v>110</v>
      </c>
      <c r="K120" t="s">
        <v>48</v>
      </c>
      <c r="L120" t="s">
        <v>49</v>
      </c>
      <c r="M120" t="s">
        <v>72</v>
      </c>
      <c r="N120" t="s">
        <v>72</v>
      </c>
      <c r="O120" t="s">
        <v>107</v>
      </c>
      <c r="P120" t="s">
        <v>74</v>
      </c>
      <c r="Q120" t="s">
        <v>42</v>
      </c>
      <c r="R120" t="s">
        <v>43</v>
      </c>
      <c r="S120" s="5">
        <v>1</v>
      </c>
      <c r="T120" s="5">
        <v>0</v>
      </c>
      <c r="U120" t="s">
        <v>44</v>
      </c>
      <c r="V120" t="s">
        <v>462</v>
      </c>
      <c r="W120" s="5">
        <v>84</v>
      </c>
      <c r="X120" s="4">
        <v>118.31</v>
      </c>
      <c r="Y120" s="4">
        <v>100.57</v>
      </c>
      <c r="Z120" s="4">
        <v>218.88</v>
      </c>
      <c r="AA120" s="4">
        <f t="shared" si="3"/>
        <v>11.886712338425383</v>
      </c>
      <c r="AB120" s="6">
        <f t="shared" si="4"/>
        <v>0.25288980500000002</v>
      </c>
      <c r="AC120" s="6">
        <f t="shared" si="5"/>
        <v>1.0944</v>
      </c>
    </row>
    <row r="121" spans="1:29">
      <c r="A121" t="s">
        <v>463</v>
      </c>
      <c r="B121" t="s">
        <v>464</v>
      </c>
      <c r="C121" s="3">
        <v>44736</v>
      </c>
      <c r="D121">
        <v>2022</v>
      </c>
      <c r="E121">
        <v>6</v>
      </c>
      <c r="F121" t="s">
        <v>136</v>
      </c>
      <c r="G121" s="4">
        <v>31.211579</v>
      </c>
      <c r="H121" s="4">
        <v>85</v>
      </c>
      <c r="I121" s="5">
        <v>3906</v>
      </c>
      <c r="J121" s="5">
        <v>159</v>
      </c>
      <c r="K121" t="s">
        <v>38</v>
      </c>
      <c r="L121" t="s">
        <v>38</v>
      </c>
      <c r="M121" t="s">
        <v>50</v>
      </c>
      <c r="N121" t="s">
        <v>50</v>
      </c>
      <c r="O121" t="s">
        <v>140</v>
      </c>
      <c r="P121" t="s">
        <v>141</v>
      </c>
      <c r="Q121" t="s">
        <v>244</v>
      </c>
      <c r="R121" t="s">
        <v>64</v>
      </c>
      <c r="S121" s="5">
        <v>1</v>
      </c>
      <c r="T121" s="5">
        <v>0</v>
      </c>
      <c r="U121" t="s">
        <v>44</v>
      </c>
      <c r="V121" t="s">
        <v>465</v>
      </c>
      <c r="W121" s="5">
        <v>94</v>
      </c>
      <c r="X121" s="4">
        <v>151.41999999999999</v>
      </c>
      <c r="Y121" s="4">
        <v>136.69999999999999</v>
      </c>
      <c r="Z121" s="4">
        <v>288.12</v>
      </c>
      <c r="AA121" s="4">
        <f t="shared" si="3"/>
        <v>7.9906756272401438</v>
      </c>
      <c r="AB121" s="6">
        <f t="shared" si="4"/>
        <v>0.36719504705882355</v>
      </c>
      <c r="AC121" s="6">
        <f t="shared" si="5"/>
        <v>3.3896470588235297</v>
      </c>
    </row>
    <row r="122" spans="1:29">
      <c r="A122" t="s">
        <v>466</v>
      </c>
      <c r="B122" t="s">
        <v>467</v>
      </c>
      <c r="C122" s="3">
        <v>44736</v>
      </c>
      <c r="D122">
        <v>2022</v>
      </c>
      <c r="E122">
        <v>6</v>
      </c>
      <c r="F122" t="s">
        <v>136</v>
      </c>
      <c r="G122" s="4">
        <v>23.633220000000001</v>
      </c>
      <c r="H122" s="4">
        <v>18</v>
      </c>
      <c r="I122" s="5">
        <v>3150</v>
      </c>
      <c r="J122" s="5">
        <v>102</v>
      </c>
      <c r="K122" t="s">
        <v>83</v>
      </c>
      <c r="L122" t="s">
        <v>83</v>
      </c>
      <c r="M122" t="s">
        <v>39</v>
      </c>
      <c r="N122" t="s">
        <v>39</v>
      </c>
      <c r="O122" t="s">
        <v>68</v>
      </c>
      <c r="P122" t="s">
        <v>68</v>
      </c>
      <c r="Q122" t="s">
        <v>42</v>
      </c>
      <c r="R122" t="s">
        <v>43</v>
      </c>
      <c r="S122" s="5">
        <v>1</v>
      </c>
      <c r="T122" s="5">
        <v>0</v>
      </c>
      <c r="U122" t="s">
        <v>44</v>
      </c>
      <c r="V122" t="s">
        <v>468</v>
      </c>
      <c r="W122" s="5">
        <v>88</v>
      </c>
      <c r="X122" s="4">
        <v>90.12</v>
      </c>
      <c r="Y122" s="4">
        <v>71.319999999999993</v>
      </c>
      <c r="Z122" s="4">
        <v>161.44</v>
      </c>
      <c r="AA122" s="4">
        <f t="shared" si="3"/>
        <v>7.5026095238095243</v>
      </c>
      <c r="AB122" s="6">
        <f t="shared" si="4"/>
        <v>1.3129566666666668</v>
      </c>
      <c r="AC122" s="6">
        <f t="shared" si="5"/>
        <v>8.9688888888888894</v>
      </c>
    </row>
    <row r="123" spans="1:29">
      <c r="A123" t="s">
        <v>469</v>
      </c>
      <c r="B123" t="s">
        <v>470</v>
      </c>
      <c r="C123" s="3">
        <v>44743</v>
      </c>
      <c r="D123">
        <v>2022</v>
      </c>
      <c r="E123">
        <v>7</v>
      </c>
      <c r="F123" t="s">
        <v>222</v>
      </c>
      <c r="G123" s="4">
        <v>107.01014000000001</v>
      </c>
      <c r="H123" s="4">
        <v>100</v>
      </c>
      <c r="I123" s="5">
        <v>4391</v>
      </c>
      <c r="J123" s="5">
        <v>88</v>
      </c>
      <c r="K123" t="s">
        <v>48</v>
      </c>
      <c r="L123" t="s">
        <v>49</v>
      </c>
      <c r="M123" t="s">
        <v>72</v>
      </c>
      <c r="N123" t="s">
        <v>72</v>
      </c>
      <c r="O123" t="s">
        <v>68</v>
      </c>
      <c r="P123" t="s">
        <v>68</v>
      </c>
      <c r="Q123" t="s">
        <v>42</v>
      </c>
      <c r="R123" t="s">
        <v>43</v>
      </c>
      <c r="S123" s="5">
        <v>1</v>
      </c>
      <c r="T123" s="5">
        <v>0</v>
      </c>
      <c r="U123" t="s">
        <v>44</v>
      </c>
      <c r="V123" t="s">
        <v>471</v>
      </c>
      <c r="W123" s="5">
        <v>89</v>
      </c>
      <c r="X123" s="4">
        <v>370.55</v>
      </c>
      <c r="Y123" s="4">
        <v>567.16</v>
      </c>
      <c r="Z123" s="4">
        <v>937.71</v>
      </c>
      <c r="AA123" s="4">
        <f t="shared" si="3"/>
        <v>24.370334775677524</v>
      </c>
      <c r="AB123" s="6">
        <f t="shared" si="4"/>
        <v>1.0701014</v>
      </c>
      <c r="AC123" s="6">
        <f t="shared" si="5"/>
        <v>9.3771000000000004</v>
      </c>
    </row>
    <row r="124" spans="1:29">
      <c r="A124" t="s">
        <v>472</v>
      </c>
      <c r="B124" t="s">
        <v>473</v>
      </c>
      <c r="C124" s="3">
        <v>44750</v>
      </c>
      <c r="D124">
        <v>2022</v>
      </c>
      <c r="E124">
        <v>7</v>
      </c>
      <c r="F124" t="s">
        <v>222</v>
      </c>
      <c r="G124" s="4">
        <v>144.16510700000001</v>
      </c>
      <c r="H124" s="4">
        <v>250</v>
      </c>
      <c r="I124" s="5">
        <v>4375</v>
      </c>
      <c r="J124" s="5">
        <v>119</v>
      </c>
      <c r="K124" t="s">
        <v>38</v>
      </c>
      <c r="L124" t="s">
        <v>38</v>
      </c>
      <c r="M124" t="s">
        <v>61</v>
      </c>
      <c r="N124" t="s">
        <v>61</v>
      </c>
      <c r="O124" t="s">
        <v>107</v>
      </c>
      <c r="P124" t="s">
        <v>74</v>
      </c>
      <c r="Q124" t="s">
        <v>42</v>
      </c>
      <c r="R124" t="s">
        <v>43</v>
      </c>
      <c r="S124" s="5">
        <v>1</v>
      </c>
      <c r="T124" s="5">
        <v>0</v>
      </c>
      <c r="U124" t="s">
        <v>44</v>
      </c>
      <c r="V124" t="s">
        <v>474</v>
      </c>
      <c r="W124" s="5">
        <v>76</v>
      </c>
      <c r="X124" s="4">
        <v>343.26</v>
      </c>
      <c r="Y124" s="4">
        <v>417.67</v>
      </c>
      <c r="Z124" s="4">
        <v>760.93</v>
      </c>
      <c r="AA124" s="4">
        <f t="shared" si="3"/>
        <v>32.952024457142862</v>
      </c>
      <c r="AB124" s="6">
        <f t="shared" si="4"/>
        <v>0.57666042800000006</v>
      </c>
      <c r="AC124" s="6">
        <f t="shared" si="5"/>
        <v>3.04372</v>
      </c>
    </row>
    <row r="125" spans="1:29">
      <c r="A125" t="s">
        <v>475</v>
      </c>
      <c r="B125" t="s">
        <v>476</v>
      </c>
      <c r="C125" s="3">
        <v>44757</v>
      </c>
      <c r="D125">
        <v>2022</v>
      </c>
      <c r="E125">
        <v>7</v>
      </c>
      <c r="F125" t="s">
        <v>222</v>
      </c>
      <c r="G125" s="4">
        <v>6.3214230000000002</v>
      </c>
      <c r="H125" s="4">
        <v>45</v>
      </c>
      <c r="I125" s="5">
        <v>3475</v>
      </c>
      <c r="J125" s="5">
        <v>97</v>
      </c>
      <c r="K125" t="s">
        <v>48</v>
      </c>
      <c r="L125" t="s">
        <v>49</v>
      </c>
      <c r="M125" t="s">
        <v>72</v>
      </c>
      <c r="N125" t="s">
        <v>72</v>
      </c>
      <c r="O125" t="s">
        <v>95</v>
      </c>
      <c r="P125" t="s">
        <v>96</v>
      </c>
      <c r="Q125" t="s">
        <v>42</v>
      </c>
      <c r="R125" t="s">
        <v>43</v>
      </c>
      <c r="S125" s="5">
        <v>1</v>
      </c>
      <c r="T125" s="5">
        <v>0</v>
      </c>
      <c r="U125" t="s">
        <v>44</v>
      </c>
      <c r="V125" t="s">
        <v>477</v>
      </c>
      <c r="W125" s="5">
        <v>67</v>
      </c>
      <c r="X125" s="4">
        <v>17.809999999999999</v>
      </c>
      <c r="Y125" s="4">
        <v>22.35</v>
      </c>
      <c r="Z125" s="4">
        <v>40.17</v>
      </c>
      <c r="AA125" s="4">
        <f t="shared" si="3"/>
        <v>1.8191145323741009</v>
      </c>
      <c r="AB125" s="6">
        <f t="shared" si="4"/>
        <v>0.14047606666666668</v>
      </c>
      <c r="AC125" s="6">
        <f t="shared" si="5"/>
        <v>0.89266666666666672</v>
      </c>
    </row>
    <row r="126" spans="1:29">
      <c r="A126" t="s">
        <v>478</v>
      </c>
      <c r="B126" t="s">
        <v>479</v>
      </c>
      <c r="C126" s="3">
        <v>44757</v>
      </c>
      <c r="D126">
        <v>2022</v>
      </c>
      <c r="E126">
        <v>7</v>
      </c>
      <c r="F126" t="s">
        <v>222</v>
      </c>
      <c r="G126" s="4">
        <v>17.253226999999999</v>
      </c>
      <c r="H126" s="4">
        <v>24</v>
      </c>
      <c r="I126" s="5">
        <v>3650</v>
      </c>
      <c r="J126" s="5">
        <v>125</v>
      </c>
      <c r="K126" t="s">
        <v>38</v>
      </c>
      <c r="L126" t="s">
        <v>38</v>
      </c>
      <c r="M126" t="s">
        <v>50</v>
      </c>
      <c r="N126" t="s">
        <v>50</v>
      </c>
      <c r="O126" t="s">
        <v>40</v>
      </c>
      <c r="P126" t="s">
        <v>41</v>
      </c>
      <c r="Q126" t="s">
        <v>42</v>
      </c>
      <c r="R126" t="s">
        <v>43</v>
      </c>
      <c r="S126" s="5">
        <v>1</v>
      </c>
      <c r="T126" s="5">
        <v>0</v>
      </c>
      <c r="U126" t="s">
        <v>44</v>
      </c>
      <c r="V126" t="s">
        <v>480</v>
      </c>
      <c r="W126" s="5">
        <v>96</v>
      </c>
      <c r="X126" s="4">
        <v>90.23</v>
      </c>
      <c r="Y126" s="4">
        <v>54.12</v>
      </c>
      <c r="Z126" s="4">
        <v>144.35</v>
      </c>
      <c r="AA126" s="4">
        <f t="shared" si="3"/>
        <v>4.7269115068493148</v>
      </c>
      <c r="AB126" s="6">
        <f t="shared" si="4"/>
        <v>0.71888445833333325</v>
      </c>
      <c r="AC126" s="6">
        <f t="shared" si="5"/>
        <v>6.0145833333333334</v>
      </c>
    </row>
    <row r="127" spans="1:29">
      <c r="A127" t="s">
        <v>481</v>
      </c>
      <c r="B127" t="s">
        <v>482</v>
      </c>
      <c r="C127" s="3">
        <v>44764</v>
      </c>
      <c r="D127">
        <v>2022</v>
      </c>
      <c r="E127">
        <v>7</v>
      </c>
      <c r="F127" t="s">
        <v>222</v>
      </c>
      <c r="G127" s="4">
        <v>44.366909999999997</v>
      </c>
      <c r="H127" s="4">
        <v>68</v>
      </c>
      <c r="I127" s="5">
        <v>3785</v>
      </c>
      <c r="J127" s="5">
        <v>131</v>
      </c>
      <c r="K127" t="s">
        <v>83</v>
      </c>
      <c r="L127" t="s">
        <v>83</v>
      </c>
      <c r="M127" t="s">
        <v>39</v>
      </c>
      <c r="N127" t="s">
        <v>39</v>
      </c>
      <c r="O127" t="s">
        <v>68</v>
      </c>
      <c r="P127" t="s">
        <v>68</v>
      </c>
      <c r="Q127" t="s">
        <v>42</v>
      </c>
      <c r="R127" t="s">
        <v>43</v>
      </c>
      <c r="S127" s="5">
        <v>1</v>
      </c>
      <c r="T127" s="5">
        <v>0</v>
      </c>
      <c r="U127" t="s">
        <v>44</v>
      </c>
      <c r="V127" t="s">
        <v>483</v>
      </c>
      <c r="W127" s="5">
        <v>69</v>
      </c>
      <c r="X127" s="4">
        <v>123.28</v>
      </c>
      <c r="Y127" s="4">
        <v>48.76</v>
      </c>
      <c r="Z127" s="4">
        <v>172.04</v>
      </c>
      <c r="AA127" s="4">
        <f t="shared" si="3"/>
        <v>11.721772787318361</v>
      </c>
      <c r="AB127" s="6">
        <f t="shared" si="4"/>
        <v>0.65245455882352932</v>
      </c>
      <c r="AC127" s="6">
        <f t="shared" si="5"/>
        <v>2.5299999999999998</v>
      </c>
    </row>
    <row r="128" spans="1:29">
      <c r="A128" t="s">
        <v>484</v>
      </c>
      <c r="B128" t="s">
        <v>485</v>
      </c>
      <c r="C128" s="3">
        <v>44771</v>
      </c>
      <c r="D128">
        <v>2022</v>
      </c>
      <c r="E128">
        <v>7</v>
      </c>
      <c r="F128" t="s">
        <v>222</v>
      </c>
      <c r="G128" s="4">
        <v>23.003440999999999</v>
      </c>
      <c r="H128" s="4">
        <v>90</v>
      </c>
      <c r="I128" s="5">
        <v>4314</v>
      </c>
      <c r="J128" s="5">
        <v>100</v>
      </c>
      <c r="K128" t="s">
        <v>48</v>
      </c>
      <c r="L128" t="s">
        <v>49</v>
      </c>
      <c r="M128" t="s">
        <v>72</v>
      </c>
      <c r="N128" t="s">
        <v>72</v>
      </c>
      <c r="O128" t="s">
        <v>140</v>
      </c>
      <c r="P128" t="s">
        <v>141</v>
      </c>
      <c r="Q128" t="s">
        <v>42</v>
      </c>
      <c r="R128" t="s">
        <v>43</v>
      </c>
      <c r="S128" s="5">
        <v>1</v>
      </c>
      <c r="T128" s="5">
        <v>0</v>
      </c>
      <c r="U128" t="s">
        <v>44</v>
      </c>
      <c r="V128" t="s">
        <v>486</v>
      </c>
      <c r="W128" s="5">
        <v>88</v>
      </c>
      <c r="X128" s="4">
        <v>93.66</v>
      </c>
      <c r="Y128" s="4">
        <v>113.9</v>
      </c>
      <c r="Z128" s="4">
        <v>207.56</v>
      </c>
      <c r="AA128" s="4">
        <f t="shared" si="3"/>
        <v>5.3322765414928135</v>
      </c>
      <c r="AB128" s="6">
        <f t="shared" si="4"/>
        <v>0.2555937888888889</v>
      </c>
      <c r="AC128" s="6">
        <f t="shared" si="5"/>
        <v>2.3062222222222224</v>
      </c>
    </row>
    <row r="129" spans="1:29">
      <c r="A129" t="s">
        <v>487</v>
      </c>
      <c r="B129" t="s">
        <v>488</v>
      </c>
      <c r="C129" s="3">
        <v>44778</v>
      </c>
      <c r="D129">
        <v>2022</v>
      </c>
      <c r="E129">
        <v>8</v>
      </c>
      <c r="F129" t="s">
        <v>222</v>
      </c>
      <c r="G129" s="4">
        <v>5.4471299999999996</v>
      </c>
      <c r="H129" s="4">
        <v>17</v>
      </c>
      <c r="I129" s="5">
        <v>3175</v>
      </c>
      <c r="J129" s="5"/>
      <c r="K129" t="s">
        <v>38</v>
      </c>
      <c r="L129" t="s">
        <v>38</v>
      </c>
      <c r="M129" t="s">
        <v>94</v>
      </c>
      <c r="N129" t="s">
        <v>94</v>
      </c>
      <c r="O129" t="s">
        <v>68</v>
      </c>
      <c r="P129" t="s">
        <v>68</v>
      </c>
      <c r="Q129" t="s">
        <v>42</v>
      </c>
      <c r="R129" t="s">
        <v>43</v>
      </c>
      <c r="S129" s="5">
        <v>0</v>
      </c>
      <c r="T129" s="5">
        <v>0</v>
      </c>
      <c r="U129" t="s">
        <v>44</v>
      </c>
      <c r="V129" t="s">
        <v>489</v>
      </c>
      <c r="W129" s="5">
        <v>70</v>
      </c>
      <c r="X129" s="4">
        <v>13.01</v>
      </c>
      <c r="Y129" s="4">
        <v>0.01</v>
      </c>
      <c r="Z129" s="4">
        <v>13.02</v>
      </c>
      <c r="AA129" s="4">
        <f t="shared" si="3"/>
        <v>1.7156314960629919</v>
      </c>
      <c r="AB129" s="6">
        <f t="shared" si="4"/>
        <v>0.32041941176470584</v>
      </c>
      <c r="AC129" s="6">
        <f t="shared" si="5"/>
        <v>0.76588235294117646</v>
      </c>
    </row>
    <row r="130" spans="1:29">
      <c r="A130" t="s">
        <v>490</v>
      </c>
      <c r="B130" t="s">
        <v>491</v>
      </c>
      <c r="C130" s="3">
        <v>44799</v>
      </c>
      <c r="D130">
        <v>2022</v>
      </c>
      <c r="E130">
        <v>8</v>
      </c>
      <c r="F130" t="s">
        <v>222</v>
      </c>
      <c r="G130" s="4">
        <v>6.8054680000000003</v>
      </c>
      <c r="H130" s="4">
        <v>10</v>
      </c>
      <c r="I130" s="5">
        <v>3114</v>
      </c>
      <c r="J130" s="5">
        <v>104</v>
      </c>
      <c r="K130" t="s">
        <v>38</v>
      </c>
      <c r="L130" t="s">
        <v>38</v>
      </c>
      <c r="M130" t="s">
        <v>39</v>
      </c>
      <c r="N130" t="s">
        <v>39</v>
      </c>
      <c r="O130" t="s">
        <v>40</v>
      </c>
      <c r="P130" t="s">
        <v>41</v>
      </c>
      <c r="Q130" t="s">
        <v>42</v>
      </c>
      <c r="R130" t="s">
        <v>43</v>
      </c>
      <c r="S130" s="5">
        <v>0</v>
      </c>
      <c r="T130" s="5">
        <v>0</v>
      </c>
      <c r="U130" t="s">
        <v>44</v>
      </c>
      <c r="V130" t="s">
        <v>492</v>
      </c>
      <c r="W130" s="5">
        <v>69</v>
      </c>
      <c r="X130" s="4">
        <v>25.1</v>
      </c>
      <c r="Y130" s="4">
        <v>8.59</v>
      </c>
      <c r="Z130" s="4">
        <v>33.69</v>
      </c>
      <c r="AA130" s="4">
        <f t="shared" ref="AA130:AA193" si="6">IFERROR(G130*1000/I130,"")</f>
        <v>2.185442517662171</v>
      </c>
      <c r="AB130" s="6">
        <f t="shared" ref="AB130:AB193" si="7">IFERROR(G130/H130,"")</f>
        <v>0.68054680000000001</v>
      </c>
      <c r="AC130" s="6">
        <f t="shared" ref="AC130:AC193" si="8">IF(Z130="","",Z130/H130)</f>
        <v>3.3689999999999998</v>
      </c>
    </row>
    <row r="131" spans="1:29">
      <c r="A131" t="s">
        <v>493</v>
      </c>
      <c r="B131" t="s">
        <v>494</v>
      </c>
      <c r="C131" s="3">
        <v>44799</v>
      </c>
      <c r="D131">
        <v>2022</v>
      </c>
      <c r="E131">
        <v>8</v>
      </c>
      <c r="F131" t="s">
        <v>222</v>
      </c>
      <c r="G131" s="4">
        <v>2.9197169999999999</v>
      </c>
      <c r="H131" s="4">
        <v>60</v>
      </c>
      <c r="I131" s="5">
        <v>2436</v>
      </c>
      <c r="J131" s="5">
        <v>108</v>
      </c>
      <c r="K131" t="s">
        <v>83</v>
      </c>
      <c r="L131" t="s">
        <v>83</v>
      </c>
      <c r="M131" t="s">
        <v>50</v>
      </c>
      <c r="N131" t="s">
        <v>50</v>
      </c>
      <c r="O131" t="s">
        <v>172</v>
      </c>
      <c r="P131" t="s">
        <v>56</v>
      </c>
      <c r="Q131" t="s">
        <v>244</v>
      </c>
      <c r="R131" t="s">
        <v>64</v>
      </c>
      <c r="S131" s="5">
        <v>0</v>
      </c>
      <c r="T131" s="5">
        <v>0</v>
      </c>
      <c r="U131" t="s">
        <v>44</v>
      </c>
      <c r="V131" t="s">
        <v>495</v>
      </c>
      <c r="W131" s="5">
        <v>73</v>
      </c>
      <c r="X131" s="4">
        <v>8.2899999999999991</v>
      </c>
      <c r="Y131" s="4">
        <v>12.96</v>
      </c>
      <c r="Z131" s="4">
        <v>21.25</v>
      </c>
      <c r="AA131" s="4">
        <f t="shared" si="6"/>
        <v>1.198570197044335</v>
      </c>
      <c r="AB131" s="6">
        <f t="shared" si="7"/>
        <v>4.8661949999999995E-2</v>
      </c>
      <c r="AC131" s="6">
        <f t="shared" si="8"/>
        <v>0.35416666666666669</v>
      </c>
    </row>
    <row r="132" spans="1:29">
      <c r="A132" t="s">
        <v>496</v>
      </c>
      <c r="B132" t="s">
        <v>497</v>
      </c>
      <c r="C132" s="3">
        <v>44813</v>
      </c>
      <c r="D132">
        <v>2022</v>
      </c>
      <c r="E132">
        <v>9</v>
      </c>
      <c r="F132" t="s">
        <v>222</v>
      </c>
      <c r="G132" s="4">
        <v>10.543948</v>
      </c>
      <c r="H132" s="4">
        <v>4.5</v>
      </c>
      <c r="I132" s="5">
        <v>2340</v>
      </c>
      <c r="J132" s="5">
        <v>102</v>
      </c>
      <c r="K132" t="s">
        <v>83</v>
      </c>
      <c r="L132" t="s">
        <v>83</v>
      </c>
      <c r="M132" t="s">
        <v>39</v>
      </c>
      <c r="N132" t="s">
        <v>39</v>
      </c>
      <c r="O132" t="s">
        <v>413</v>
      </c>
      <c r="P132" t="s">
        <v>74</v>
      </c>
      <c r="Q132" t="s">
        <v>42</v>
      </c>
      <c r="R132" t="s">
        <v>43</v>
      </c>
      <c r="S132" s="5">
        <v>0</v>
      </c>
      <c r="T132" s="5">
        <v>0</v>
      </c>
      <c r="U132" t="s">
        <v>44</v>
      </c>
      <c r="V132" t="s">
        <v>498</v>
      </c>
      <c r="W132" s="5">
        <v>70</v>
      </c>
      <c r="X132" s="4">
        <v>40.840000000000003</v>
      </c>
      <c r="Y132" s="4">
        <v>4.51</v>
      </c>
      <c r="Z132" s="4">
        <v>45.35</v>
      </c>
      <c r="AA132" s="4">
        <f t="shared" si="6"/>
        <v>4.5059606837606836</v>
      </c>
      <c r="AB132" s="6">
        <f t="shared" si="7"/>
        <v>2.3430995555555558</v>
      </c>
      <c r="AC132" s="6">
        <f t="shared" si="8"/>
        <v>10.077777777777778</v>
      </c>
    </row>
    <row r="133" spans="1:29">
      <c r="A133" t="s">
        <v>499</v>
      </c>
      <c r="B133" t="s">
        <v>500</v>
      </c>
      <c r="C133" s="3">
        <v>44820</v>
      </c>
      <c r="D133">
        <v>2022</v>
      </c>
      <c r="E133">
        <v>9</v>
      </c>
      <c r="F133" t="s">
        <v>222</v>
      </c>
      <c r="G133" s="4">
        <v>19.353213</v>
      </c>
      <c r="H133" s="4">
        <v>35</v>
      </c>
      <c r="I133" s="5">
        <v>4113</v>
      </c>
      <c r="J133" s="5">
        <v>123</v>
      </c>
      <c r="K133" t="s">
        <v>83</v>
      </c>
      <c r="L133" t="s">
        <v>83</v>
      </c>
      <c r="M133" t="s">
        <v>54</v>
      </c>
      <c r="N133" t="s">
        <v>54</v>
      </c>
      <c r="O133" t="s">
        <v>140</v>
      </c>
      <c r="P133" t="s">
        <v>141</v>
      </c>
      <c r="Q133" t="s">
        <v>42</v>
      </c>
      <c r="R133" t="s">
        <v>43</v>
      </c>
      <c r="S133" s="5">
        <v>0</v>
      </c>
      <c r="T133" s="5">
        <v>0</v>
      </c>
      <c r="U133" t="s">
        <v>44</v>
      </c>
      <c r="V133" t="s">
        <v>501</v>
      </c>
      <c r="W133" s="5">
        <v>74</v>
      </c>
      <c r="X133" s="4">
        <v>45.31</v>
      </c>
      <c r="Y133" s="4">
        <v>42.3</v>
      </c>
      <c r="Z133" s="4">
        <v>87.61</v>
      </c>
      <c r="AA133" s="4">
        <f t="shared" si="6"/>
        <v>4.7053763676148792</v>
      </c>
      <c r="AB133" s="6">
        <f t="shared" si="7"/>
        <v>0.55294894285714291</v>
      </c>
      <c r="AC133" s="6">
        <f t="shared" si="8"/>
        <v>2.5031428571428571</v>
      </c>
    </row>
    <row r="134" spans="1:29">
      <c r="A134" t="s">
        <v>502</v>
      </c>
      <c r="B134" t="s">
        <v>503</v>
      </c>
      <c r="C134" s="3">
        <v>44820</v>
      </c>
      <c r="D134">
        <v>2022</v>
      </c>
      <c r="E134">
        <v>9</v>
      </c>
      <c r="F134" t="s">
        <v>222</v>
      </c>
      <c r="G134" s="4">
        <v>19.051442000000002</v>
      </c>
      <c r="H134" s="4">
        <v>50</v>
      </c>
      <c r="I134" s="5">
        <v>3765</v>
      </c>
      <c r="J134" s="5">
        <v>135</v>
      </c>
      <c r="K134" t="s">
        <v>38</v>
      </c>
      <c r="L134" t="s">
        <v>38</v>
      </c>
      <c r="M134" t="s">
        <v>61</v>
      </c>
      <c r="N134" t="s">
        <v>61</v>
      </c>
      <c r="O134" t="s">
        <v>40</v>
      </c>
      <c r="P134" t="s">
        <v>41</v>
      </c>
      <c r="Q134" t="s">
        <v>248</v>
      </c>
      <c r="R134" t="s">
        <v>64</v>
      </c>
      <c r="S134" s="5">
        <v>0</v>
      </c>
      <c r="T134" s="5">
        <v>0</v>
      </c>
      <c r="U134" t="s">
        <v>44</v>
      </c>
      <c r="V134" t="s">
        <v>504</v>
      </c>
      <c r="W134" s="5">
        <v>99</v>
      </c>
      <c r="X134" s="4">
        <v>67.33</v>
      </c>
      <c r="Y134" s="4">
        <v>27.05</v>
      </c>
      <c r="Z134" s="4">
        <v>94.37</v>
      </c>
      <c r="AA134" s="4">
        <f t="shared" si="6"/>
        <v>5.0601439575033211</v>
      </c>
      <c r="AB134" s="6">
        <f t="shared" si="7"/>
        <v>0.38102884000000004</v>
      </c>
      <c r="AC134" s="6">
        <f t="shared" si="8"/>
        <v>1.8874000000000002</v>
      </c>
    </row>
    <row r="135" spans="1:29">
      <c r="A135" t="s">
        <v>505</v>
      </c>
      <c r="B135" t="s">
        <v>506</v>
      </c>
      <c r="C135" s="3">
        <v>44834</v>
      </c>
      <c r="D135">
        <v>2022</v>
      </c>
      <c r="E135">
        <v>9</v>
      </c>
      <c r="F135" t="s">
        <v>222</v>
      </c>
      <c r="G135" s="4">
        <v>4.8541249999999998</v>
      </c>
      <c r="H135" s="4">
        <v>22</v>
      </c>
      <c r="I135" s="5">
        <v>3350</v>
      </c>
      <c r="J135" s="5">
        <v>115</v>
      </c>
      <c r="K135" t="s">
        <v>83</v>
      </c>
      <c r="L135" t="s">
        <v>83</v>
      </c>
      <c r="M135" t="s">
        <v>93</v>
      </c>
      <c r="N135" t="s">
        <v>94</v>
      </c>
      <c r="O135" t="s">
        <v>68</v>
      </c>
      <c r="P135" t="s">
        <v>68</v>
      </c>
      <c r="Q135" t="s">
        <v>42</v>
      </c>
      <c r="R135" t="s">
        <v>43</v>
      </c>
      <c r="S135" s="5">
        <v>0</v>
      </c>
      <c r="T135" s="5">
        <v>0</v>
      </c>
      <c r="U135" t="s">
        <v>44</v>
      </c>
      <c r="V135" t="s">
        <v>507</v>
      </c>
      <c r="W135" s="5">
        <v>90</v>
      </c>
      <c r="X135" s="4">
        <v>11.63</v>
      </c>
      <c r="Y135" s="4">
        <v>3.2</v>
      </c>
      <c r="Z135" s="4">
        <v>14.83</v>
      </c>
      <c r="AA135" s="4">
        <f t="shared" si="6"/>
        <v>1.4489925373134329</v>
      </c>
      <c r="AB135" s="6">
        <f t="shared" si="7"/>
        <v>0.22064204545454544</v>
      </c>
      <c r="AC135" s="6">
        <f t="shared" si="8"/>
        <v>0.67409090909090907</v>
      </c>
    </row>
    <row r="136" spans="1:29">
      <c r="A136" t="s">
        <v>508</v>
      </c>
      <c r="B136" t="s">
        <v>509</v>
      </c>
      <c r="C136" s="3">
        <v>44834</v>
      </c>
      <c r="D136">
        <v>2022</v>
      </c>
      <c r="E136">
        <v>9</v>
      </c>
      <c r="F136" t="s">
        <v>222</v>
      </c>
      <c r="G136" s="4">
        <v>22.609925</v>
      </c>
      <c r="H136" s="4">
        <v>17</v>
      </c>
      <c r="I136" s="5">
        <v>3650</v>
      </c>
      <c r="J136" s="5">
        <v>115</v>
      </c>
      <c r="K136" t="s">
        <v>83</v>
      </c>
      <c r="L136" t="s">
        <v>83</v>
      </c>
      <c r="M136" t="s">
        <v>39</v>
      </c>
      <c r="N136" t="s">
        <v>39</v>
      </c>
      <c r="O136" t="s">
        <v>95</v>
      </c>
      <c r="P136" t="s">
        <v>96</v>
      </c>
      <c r="Q136" t="s">
        <v>42</v>
      </c>
      <c r="R136" t="s">
        <v>43</v>
      </c>
      <c r="S136" s="5">
        <v>0</v>
      </c>
      <c r="T136" s="5">
        <v>0</v>
      </c>
      <c r="U136" t="s">
        <v>44</v>
      </c>
      <c r="V136" t="s">
        <v>510</v>
      </c>
      <c r="W136" s="5">
        <v>77</v>
      </c>
      <c r="X136" s="4">
        <v>105.94</v>
      </c>
      <c r="Y136" s="4">
        <v>111.1</v>
      </c>
      <c r="Z136" s="4">
        <v>217.04</v>
      </c>
      <c r="AA136" s="4">
        <f t="shared" si="6"/>
        <v>6.1944999999999997</v>
      </c>
      <c r="AB136" s="6">
        <f t="shared" si="7"/>
        <v>1.3299955882352941</v>
      </c>
      <c r="AC136" s="6">
        <f t="shared" si="8"/>
        <v>12.76705882352941</v>
      </c>
    </row>
    <row r="137" spans="1:29">
      <c r="A137" t="s">
        <v>511</v>
      </c>
      <c r="B137" t="s">
        <v>512</v>
      </c>
      <c r="C137" s="3">
        <v>44840</v>
      </c>
      <c r="D137">
        <v>2022</v>
      </c>
      <c r="E137">
        <v>10</v>
      </c>
      <c r="F137" t="s">
        <v>302</v>
      </c>
      <c r="G137" s="4">
        <v>0.80500000000000005</v>
      </c>
      <c r="H137" s="4">
        <v>0.25</v>
      </c>
      <c r="I137" s="5">
        <v>886</v>
      </c>
      <c r="J137" s="5">
        <v>138</v>
      </c>
      <c r="M137" t="s">
        <v>39</v>
      </c>
      <c r="N137" t="s">
        <v>39</v>
      </c>
      <c r="O137" t="s">
        <v>513</v>
      </c>
      <c r="P137" t="s">
        <v>56</v>
      </c>
      <c r="Q137" t="s">
        <v>42</v>
      </c>
      <c r="R137" t="s">
        <v>43</v>
      </c>
      <c r="S137" s="5">
        <v>0</v>
      </c>
      <c r="T137" s="5">
        <v>0</v>
      </c>
      <c r="U137" t="s">
        <v>44</v>
      </c>
      <c r="V137" t="s">
        <v>514</v>
      </c>
      <c r="W137" s="5">
        <v>81</v>
      </c>
      <c r="X137" s="4">
        <v>10.96</v>
      </c>
      <c r="Y137" s="4">
        <v>4.72</v>
      </c>
      <c r="Z137" s="4">
        <v>15.69</v>
      </c>
      <c r="AA137" s="4">
        <f t="shared" si="6"/>
        <v>0.9085778781038375</v>
      </c>
      <c r="AB137" s="6">
        <f t="shared" si="7"/>
        <v>3.22</v>
      </c>
      <c r="AC137" s="6">
        <f t="shared" si="8"/>
        <v>62.76</v>
      </c>
    </row>
    <row r="138" spans="1:29">
      <c r="A138" t="s">
        <v>515</v>
      </c>
      <c r="B138" t="s">
        <v>516</v>
      </c>
      <c r="C138" s="3">
        <v>44841</v>
      </c>
      <c r="D138">
        <v>2022</v>
      </c>
      <c r="E138">
        <v>10</v>
      </c>
      <c r="F138" t="s">
        <v>302</v>
      </c>
      <c r="G138" s="4">
        <v>6.444896</v>
      </c>
      <c r="H138" s="4">
        <v>80</v>
      </c>
      <c r="I138" s="5">
        <v>3005</v>
      </c>
      <c r="J138" s="5">
        <v>134</v>
      </c>
      <c r="K138" t="s">
        <v>83</v>
      </c>
      <c r="L138" t="s">
        <v>83</v>
      </c>
      <c r="M138" t="s">
        <v>94</v>
      </c>
      <c r="N138" t="s">
        <v>94</v>
      </c>
      <c r="O138" t="s">
        <v>413</v>
      </c>
      <c r="P138" t="s">
        <v>74</v>
      </c>
      <c r="Q138" t="s">
        <v>248</v>
      </c>
      <c r="R138" t="s">
        <v>64</v>
      </c>
      <c r="S138" s="5">
        <v>0</v>
      </c>
      <c r="T138" s="5">
        <v>0</v>
      </c>
      <c r="U138" t="s">
        <v>44</v>
      </c>
      <c r="V138" t="s">
        <v>517</v>
      </c>
      <c r="W138" s="5">
        <v>62</v>
      </c>
      <c r="X138" s="4">
        <v>14.95</v>
      </c>
      <c r="Y138" s="4">
        <v>14.45</v>
      </c>
      <c r="Z138" s="4">
        <v>29.4</v>
      </c>
      <c r="AA138" s="4">
        <f t="shared" si="6"/>
        <v>2.1447241264559067</v>
      </c>
      <c r="AB138" s="6">
        <f t="shared" si="7"/>
        <v>8.0561199999999999E-2</v>
      </c>
      <c r="AC138" s="6">
        <f t="shared" si="8"/>
        <v>0.36749999999999999</v>
      </c>
    </row>
    <row r="139" spans="1:29">
      <c r="A139" t="s">
        <v>518</v>
      </c>
      <c r="B139" t="s">
        <v>519</v>
      </c>
      <c r="C139" s="3">
        <v>44841</v>
      </c>
      <c r="D139">
        <v>2022</v>
      </c>
      <c r="E139">
        <v>10</v>
      </c>
      <c r="F139" t="s">
        <v>302</v>
      </c>
      <c r="G139" s="4">
        <v>11.401182</v>
      </c>
      <c r="H139" s="4">
        <v>50</v>
      </c>
      <c r="I139" s="5">
        <v>4350</v>
      </c>
      <c r="J139" s="5">
        <v>106</v>
      </c>
      <c r="K139" t="s">
        <v>48</v>
      </c>
      <c r="L139" t="s">
        <v>49</v>
      </c>
      <c r="M139" t="s">
        <v>362</v>
      </c>
      <c r="N139" t="s">
        <v>56</v>
      </c>
      <c r="O139" t="s">
        <v>40</v>
      </c>
      <c r="P139" t="s">
        <v>41</v>
      </c>
      <c r="Q139" t="s">
        <v>42</v>
      </c>
      <c r="R139" t="s">
        <v>43</v>
      </c>
      <c r="S139" s="5">
        <v>0</v>
      </c>
      <c r="T139" s="5">
        <v>0</v>
      </c>
      <c r="U139" t="s">
        <v>44</v>
      </c>
      <c r="V139" t="s">
        <v>520</v>
      </c>
      <c r="W139" s="5">
        <v>93</v>
      </c>
      <c r="X139" s="4">
        <v>46.89</v>
      </c>
      <c r="Y139" s="4">
        <v>60.3</v>
      </c>
      <c r="Z139" s="4">
        <v>107.19</v>
      </c>
      <c r="AA139" s="4">
        <f t="shared" si="6"/>
        <v>2.6209613793103448</v>
      </c>
      <c r="AB139" s="6">
        <f t="shared" si="7"/>
        <v>0.22802364</v>
      </c>
      <c r="AC139" s="6">
        <f t="shared" si="8"/>
        <v>2.1438000000000001</v>
      </c>
    </row>
    <row r="140" spans="1:29">
      <c r="A140" t="s">
        <v>521</v>
      </c>
      <c r="B140" t="s">
        <v>522</v>
      </c>
      <c r="C140" s="3">
        <v>44855</v>
      </c>
      <c r="D140">
        <v>2022</v>
      </c>
      <c r="E140">
        <v>10</v>
      </c>
      <c r="F140" t="s">
        <v>302</v>
      </c>
      <c r="G140" s="4">
        <v>67.004322999999999</v>
      </c>
      <c r="H140" s="4">
        <v>200</v>
      </c>
      <c r="I140" s="5">
        <v>4402</v>
      </c>
      <c r="J140" s="5">
        <v>124</v>
      </c>
      <c r="K140" t="s">
        <v>38</v>
      </c>
      <c r="L140" t="s">
        <v>38</v>
      </c>
      <c r="M140" t="s">
        <v>61</v>
      </c>
      <c r="N140" t="s">
        <v>61</v>
      </c>
      <c r="O140" t="s">
        <v>140</v>
      </c>
      <c r="P140" t="s">
        <v>141</v>
      </c>
      <c r="Q140" t="s">
        <v>42</v>
      </c>
      <c r="R140" t="s">
        <v>43</v>
      </c>
      <c r="S140" s="5">
        <v>0</v>
      </c>
      <c r="T140" s="5">
        <v>0</v>
      </c>
      <c r="U140" t="s">
        <v>44</v>
      </c>
      <c r="V140" t="s">
        <v>523</v>
      </c>
      <c r="W140" s="5">
        <v>87</v>
      </c>
      <c r="X140" s="4">
        <v>168.28</v>
      </c>
      <c r="Y140" s="4">
        <v>225.3</v>
      </c>
      <c r="Z140" s="4">
        <v>393.58</v>
      </c>
      <c r="AA140" s="4">
        <f t="shared" si="6"/>
        <v>15.221336437982735</v>
      </c>
      <c r="AB140" s="6">
        <f t="shared" si="7"/>
        <v>0.33502161499999999</v>
      </c>
      <c r="AC140" s="6">
        <f t="shared" si="8"/>
        <v>1.9679</v>
      </c>
    </row>
    <row r="141" spans="1:29">
      <c r="A141" t="s">
        <v>524</v>
      </c>
      <c r="B141" t="s">
        <v>525</v>
      </c>
      <c r="C141" s="3">
        <v>44876</v>
      </c>
      <c r="D141">
        <v>2022</v>
      </c>
      <c r="E141">
        <v>11</v>
      </c>
      <c r="F141" t="s">
        <v>302</v>
      </c>
      <c r="G141" s="4">
        <v>181.33976100000001</v>
      </c>
      <c r="H141" s="4">
        <v>250</v>
      </c>
      <c r="I141" s="5">
        <v>4396</v>
      </c>
      <c r="J141" s="5">
        <v>161</v>
      </c>
      <c r="K141" t="s">
        <v>38</v>
      </c>
      <c r="L141" t="s">
        <v>38</v>
      </c>
      <c r="M141" t="s">
        <v>61</v>
      </c>
      <c r="N141" t="s">
        <v>61</v>
      </c>
      <c r="O141" t="s">
        <v>107</v>
      </c>
      <c r="P141" t="s">
        <v>74</v>
      </c>
      <c r="Q141" t="s">
        <v>42</v>
      </c>
      <c r="R141" t="s">
        <v>43</v>
      </c>
      <c r="S141" s="5">
        <v>0</v>
      </c>
      <c r="T141" s="5">
        <v>1</v>
      </c>
      <c r="U141" t="s">
        <v>44</v>
      </c>
      <c r="V141" t="s">
        <v>526</v>
      </c>
      <c r="W141" s="5">
        <v>94</v>
      </c>
      <c r="X141" s="4">
        <v>453.83</v>
      </c>
      <c r="Y141" s="4">
        <v>400.16</v>
      </c>
      <c r="Z141" s="4">
        <v>853.99</v>
      </c>
      <c r="AA141" s="4">
        <f t="shared" si="6"/>
        <v>41.251083030027296</v>
      </c>
      <c r="AB141" s="6">
        <f t="shared" si="7"/>
        <v>0.72535904400000006</v>
      </c>
      <c r="AC141" s="6">
        <f t="shared" si="8"/>
        <v>3.4159600000000001</v>
      </c>
    </row>
    <row r="142" spans="1:29">
      <c r="A142" t="s">
        <v>527</v>
      </c>
      <c r="B142" t="s">
        <v>528</v>
      </c>
      <c r="C142" s="3">
        <v>44888</v>
      </c>
      <c r="D142">
        <v>2022</v>
      </c>
      <c r="E142">
        <v>11</v>
      </c>
      <c r="F142" t="s">
        <v>302</v>
      </c>
      <c r="G142" s="4">
        <v>5.9028029999999996</v>
      </c>
      <c r="H142" s="4">
        <v>90</v>
      </c>
      <c r="I142" s="5">
        <v>3405</v>
      </c>
      <c r="J142" s="5">
        <v>138</v>
      </c>
      <c r="K142" t="s">
        <v>38</v>
      </c>
      <c r="L142" t="s">
        <v>38</v>
      </c>
      <c r="M142" t="s">
        <v>61</v>
      </c>
      <c r="N142" t="s">
        <v>61</v>
      </c>
      <c r="O142" t="s">
        <v>40</v>
      </c>
      <c r="P142" t="s">
        <v>41</v>
      </c>
      <c r="Q142" t="s">
        <v>42</v>
      </c>
      <c r="R142" t="s">
        <v>43</v>
      </c>
      <c r="S142" s="5">
        <v>0</v>
      </c>
      <c r="T142" s="5">
        <v>1</v>
      </c>
      <c r="U142" t="s">
        <v>44</v>
      </c>
      <c r="V142" t="s">
        <v>529</v>
      </c>
      <c r="W142" s="5">
        <v>92</v>
      </c>
      <c r="X142" s="4">
        <v>20.51</v>
      </c>
      <c r="Y142" s="4">
        <v>0.95</v>
      </c>
      <c r="Z142" s="4">
        <v>21.46</v>
      </c>
      <c r="AA142" s="4">
        <f t="shared" si="6"/>
        <v>1.7335691629955947</v>
      </c>
      <c r="AB142" s="6">
        <f t="shared" si="7"/>
        <v>6.5586699999999998E-2</v>
      </c>
      <c r="AC142" s="6">
        <f t="shared" si="8"/>
        <v>0.23844444444444446</v>
      </c>
    </row>
    <row r="143" spans="1:29">
      <c r="A143" t="s">
        <v>530</v>
      </c>
      <c r="B143" t="s">
        <v>531</v>
      </c>
      <c r="C143" s="3">
        <v>44888</v>
      </c>
      <c r="D143">
        <v>2022</v>
      </c>
      <c r="E143">
        <v>11</v>
      </c>
      <c r="F143" t="s">
        <v>302</v>
      </c>
      <c r="G143" s="4">
        <v>12.151384</v>
      </c>
      <c r="H143" s="4">
        <v>180</v>
      </c>
      <c r="I143" s="5">
        <v>4174</v>
      </c>
      <c r="J143" s="5">
        <v>102</v>
      </c>
      <c r="K143" t="s">
        <v>48</v>
      </c>
      <c r="L143" t="s">
        <v>49</v>
      </c>
      <c r="M143" t="s">
        <v>72</v>
      </c>
      <c r="N143" t="s">
        <v>72</v>
      </c>
      <c r="O143" t="s">
        <v>107</v>
      </c>
      <c r="P143" t="s">
        <v>74</v>
      </c>
      <c r="Q143" t="s">
        <v>42</v>
      </c>
      <c r="R143" t="s">
        <v>43</v>
      </c>
      <c r="S143" s="5">
        <v>0</v>
      </c>
      <c r="T143" s="5">
        <v>1</v>
      </c>
      <c r="U143" t="s">
        <v>44</v>
      </c>
      <c r="V143" t="s">
        <v>532</v>
      </c>
      <c r="W143" s="5">
        <v>66</v>
      </c>
      <c r="X143" s="4">
        <v>39.090000000000003</v>
      </c>
      <c r="Y143" s="4">
        <v>31.61</v>
      </c>
      <c r="Z143" s="4">
        <v>70.7</v>
      </c>
      <c r="AA143" s="4">
        <f t="shared" si="6"/>
        <v>2.9112084331576424</v>
      </c>
      <c r="AB143" s="6">
        <f t="shared" si="7"/>
        <v>6.7507688888888889E-2</v>
      </c>
      <c r="AC143" s="6">
        <f t="shared" si="8"/>
        <v>0.39277777777777778</v>
      </c>
    </row>
    <row r="144" spans="1:29">
      <c r="A144" t="s">
        <v>533</v>
      </c>
      <c r="B144" t="s">
        <v>534</v>
      </c>
      <c r="C144" s="3">
        <v>44897</v>
      </c>
      <c r="D144">
        <v>2022</v>
      </c>
      <c r="E144">
        <v>12</v>
      </c>
      <c r="F144" t="s">
        <v>302</v>
      </c>
      <c r="G144" s="4">
        <v>13.450240000000001</v>
      </c>
      <c r="H144" s="4">
        <v>20</v>
      </c>
      <c r="I144" s="5">
        <v>3682</v>
      </c>
      <c r="J144" s="5">
        <v>112</v>
      </c>
      <c r="K144" t="s">
        <v>83</v>
      </c>
      <c r="L144" t="s">
        <v>83</v>
      </c>
      <c r="M144" t="s">
        <v>94</v>
      </c>
      <c r="N144" t="s">
        <v>94</v>
      </c>
      <c r="O144" t="s">
        <v>68</v>
      </c>
      <c r="P144" t="s">
        <v>68</v>
      </c>
      <c r="Q144" t="s">
        <v>42</v>
      </c>
      <c r="R144" t="s">
        <v>43</v>
      </c>
      <c r="S144" s="5">
        <v>0</v>
      </c>
      <c r="T144" s="5">
        <v>1</v>
      </c>
      <c r="U144" t="s">
        <v>44</v>
      </c>
      <c r="V144" t="s">
        <v>535</v>
      </c>
      <c r="W144" s="5">
        <v>88</v>
      </c>
      <c r="X144" s="4">
        <v>50.06</v>
      </c>
      <c r="Y144" s="4">
        <v>26.54</v>
      </c>
      <c r="Z144" s="4">
        <v>76.599999999999994</v>
      </c>
      <c r="AA144" s="4">
        <f t="shared" si="6"/>
        <v>3.6529712112982078</v>
      </c>
      <c r="AB144" s="6">
        <f t="shared" si="7"/>
        <v>0.672512</v>
      </c>
      <c r="AC144" s="6">
        <f t="shared" si="8"/>
        <v>3.8299999999999996</v>
      </c>
    </row>
    <row r="145" spans="1:29">
      <c r="A145" t="s">
        <v>536</v>
      </c>
      <c r="B145" t="s">
        <v>537</v>
      </c>
      <c r="C145" s="3">
        <v>44911</v>
      </c>
      <c r="D145">
        <v>2022</v>
      </c>
      <c r="E145">
        <v>12</v>
      </c>
      <c r="F145" t="s">
        <v>302</v>
      </c>
      <c r="G145" s="4">
        <v>134.10022599999999</v>
      </c>
      <c r="H145" s="4">
        <v>400</v>
      </c>
      <c r="I145" s="5">
        <v>4202</v>
      </c>
      <c r="J145" s="5">
        <v>190</v>
      </c>
      <c r="K145" t="s">
        <v>38</v>
      </c>
      <c r="L145" t="s">
        <v>38</v>
      </c>
      <c r="M145" t="s">
        <v>61</v>
      </c>
      <c r="N145" t="s">
        <v>61</v>
      </c>
      <c r="O145" t="s">
        <v>413</v>
      </c>
      <c r="P145" t="s">
        <v>74</v>
      </c>
      <c r="Q145" t="s">
        <v>42</v>
      </c>
      <c r="R145" t="s">
        <v>43</v>
      </c>
      <c r="S145" s="5">
        <v>0</v>
      </c>
      <c r="T145" s="5">
        <v>1</v>
      </c>
      <c r="U145" t="s">
        <v>44</v>
      </c>
      <c r="V145" t="s">
        <v>538</v>
      </c>
      <c r="W145" s="5">
        <v>92</v>
      </c>
      <c r="X145" s="4">
        <v>684.08</v>
      </c>
      <c r="Y145" s="4">
        <v>1628.34</v>
      </c>
      <c r="Z145" s="4">
        <v>2312.41</v>
      </c>
      <c r="AA145" s="4">
        <f t="shared" si="6"/>
        <v>31.913428367444073</v>
      </c>
      <c r="AB145" s="6">
        <f t="shared" si="7"/>
        <v>0.335250565</v>
      </c>
      <c r="AC145" s="6">
        <f t="shared" si="8"/>
        <v>5.7810249999999996</v>
      </c>
    </row>
    <row r="146" spans="1:29">
      <c r="A146" t="s">
        <v>539</v>
      </c>
      <c r="B146" t="s">
        <v>540</v>
      </c>
      <c r="C146" s="3">
        <v>44916</v>
      </c>
      <c r="D146">
        <v>2022</v>
      </c>
      <c r="E146">
        <v>12</v>
      </c>
      <c r="F146" t="s">
        <v>302</v>
      </c>
      <c r="G146" s="4">
        <v>12.429515</v>
      </c>
      <c r="H146" s="4">
        <v>110</v>
      </c>
      <c r="I146" s="5">
        <v>4099</v>
      </c>
      <c r="J146" s="5">
        <v>102</v>
      </c>
      <c r="K146" t="s">
        <v>48</v>
      </c>
      <c r="L146" t="s">
        <v>49</v>
      </c>
      <c r="M146" t="s">
        <v>72</v>
      </c>
      <c r="N146" t="s">
        <v>72</v>
      </c>
      <c r="O146" t="s">
        <v>68</v>
      </c>
      <c r="P146" t="s">
        <v>68</v>
      </c>
      <c r="Q146" t="s">
        <v>42</v>
      </c>
      <c r="R146" t="s">
        <v>43</v>
      </c>
      <c r="S146" s="5">
        <v>0</v>
      </c>
      <c r="T146" s="5">
        <v>1</v>
      </c>
      <c r="U146" t="s">
        <v>44</v>
      </c>
      <c r="V146" t="s">
        <v>541</v>
      </c>
      <c r="W146" s="5">
        <v>94</v>
      </c>
      <c r="X146" s="4">
        <v>186.09</v>
      </c>
      <c r="Y146" s="4">
        <v>299.16000000000003</v>
      </c>
      <c r="Z146" s="4">
        <v>485.25</v>
      </c>
      <c r="AA146" s="4">
        <f t="shared" si="6"/>
        <v>3.0323286167357892</v>
      </c>
      <c r="AB146" s="6">
        <f t="shared" si="7"/>
        <v>0.11299559090909091</v>
      </c>
      <c r="AC146" s="6">
        <f t="shared" si="8"/>
        <v>4.4113636363636362</v>
      </c>
    </row>
    <row r="147" spans="1:29">
      <c r="A147" t="s">
        <v>542</v>
      </c>
      <c r="B147" t="s">
        <v>543</v>
      </c>
      <c r="C147" s="3">
        <v>44918</v>
      </c>
      <c r="D147">
        <v>2022</v>
      </c>
      <c r="E147">
        <v>12</v>
      </c>
      <c r="F147" t="s">
        <v>302</v>
      </c>
      <c r="G147" s="4">
        <v>3.6033680000000001</v>
      </c>
      <c r="H147" s="4">
        <v>80</v>
      </c>
      <c r="I147" s="5">
        <v>3343</v>
      </c>
      <c r="J147" s="5">
        <v>188</v>
      </c>
      <c r="K147" t="s">
        <v>83</v>
      </c>
      <c r="L147" t="s">
        <v>83</v>
      </c>
      <c r="M147" t="s">
        <v>50</v>
      </c>
      <c r="N147" t="s">
        <v>50</v>
      </c>
      <c r="O147" t="s">
        <v>95</v>
      </c>
      <c r="P147" t="s">
        <v>96</v>
      </c>
      <c r="Q147" t="s">
        <v>42</v>
      </c>
      <c r="R147" t="s">
        <v>43</v>
      </c>
      <c r="S147" s="5">
        <v>0</v>
      </c>
      <c r="T147" s="5">
        <v>1</v>
      </c>
      <c r="U147" t="s">
        <v>44</v>
      </c>
      <c r="V147" t="s">
        <v>544</v>
      </c>
      <c r="W147" s="5">
        <v>52</v>
      </c>
      <c r="X147" s="4">
        <v>16.600000000000001</v>
      </c>
      <c r="Y147" s="4">
        <v>47.87</v>
      </c>
      <c r="Z147" s="4">
        <v>64.47</v>
      </c>
      <c r="AA147" s="4">
        <f t="shared" si="6"/>
        <v>1.0778845348489381</v>
      </c>
      <c r="AB147" s="6">
        <f t="shared" si="7"/>
        <v>4.5042100000000002E-2</v>
      </c>
      <c r="AC147" s="6">
        <f t="shared" si="8"/>
        <v>0.80587500000000001</v>
      </c>
    </row>
    <row r="148" spans="1:29">
      <c r="A148" t="s">
        <v>545</v>
      </c>
      <c r="B148" t="s">
        <v>546</v>
      </c>
      <c r="C148" s="3">
        <v>44918</v>
      </c>
      <c r="D148">
        <v>2022</v>
      </c>
      <c r="E148">
        <v>12</v>
      </c>
      <c r="F148" t="s">
        <v>302</v>
      </c>
      <c r="G148" s="4">
        <v>4.70045</v>
      </c>
      <c r="H148" s="4">
        <v>45</v>
      </c>
      <c r="I148" s="5">
        <v>3625</v>
      </c>
      <c r="J148" s="5">
        <v>146</v>
      </c>
      <c r="K148" t="s">
        <v>38</v>
      </c>
      <c r="L148" t="s">
        <v>38</v>
      </c>
      <c r="M148" t="s">
        <v>50</v>
      </c>
      <c r="N148" t="s">
        <v>50</v>
      </c>
      <c r="O148" t="s">
        <v>40</v>
      </c>
      <c r="P148" t="s">
        <v>41</v>
      </c>
      <c r="Q148" t="s">
        <v>376</v>
      </c>
      <c r="R148" t="s">
        <v>64</v>
      </c>
      <c r="S148" s="5">
        <v>0</v>
      </c>
      <c r="T148" s="5">
        <v>1</v>
      </c>
      <c r="U148" t="s">
        <v>44</v>
      </c>
      <c r="V148" t="s">
        <v>547</v>
      </c>
      <c r="W148" s="5">
        <v>92</v>
      </c>
      <c r="X148" s="4">
        <v>23.71</v>
      </c>
      <c r="Y148" s="4">
        <v>35.68</v>
      </c>
      <c r="Z148" s="4">
        <v>59.39</v>
      </c>
      <c r="AA148" s="4">
        <f t="shared" si="6"/>
        <v>1.2966758620689656</v>
      </c>
      <c r="AB148" s="6">
        <f t="shared" si="7"/>
        <v>0.10445444444444445</v>
      </c>
      <c r="AC148" s="6">
        <f t="shared" si="8"/>
        <v>1.3197777777777777</v>
      </c>
    </row>
    <row r="149" spans="1:29">
      <c r="A149" t="s">
        <v>548</v>
      </c>
      <c r="B149" t="s">
        <v>549</v>
      </c>
      <c r="C149" s="3">
        <v>44932</v>
      </c>
      <c r="D149">
        <v>2023</v>
      </c>
      <c r="E149">
        <v>1</v>
      </c>
      <c r="F149" t="s">
        <v>37</v>
      </c>
      <c r="G149" s="4">
        <v>30.429860000000001</v>
      </c>
      <c r="H149" s="4">
        <v>12</v>
      </c>
      <c r="I149" s="5">
        <v>3509</v>
      </c>
      <c r="J149" s="5">
        <v>102</v>
      </c>
      <c r="K149" t="s">
        <v>38</v>
      </c>
      <c r="L149" t="s">
        <v>38</v>
      </c>
      <c r="M149" t="s">
        <v>39</v>
      </c>
      <c r="N149" t="s">
        <v>39</v>
      </c>
      <c r="O149" t="s">
        <v>68</v>
      </c>
      <c r="P149" t="s">
        <v>68</v>
      </c>
      <c r="Q149" t="s">
        <v>42</v>
      </c>
      <c r="R149" t="s">
        <v>43</v>
      </c>
      <c r="S149" s="5">
        <v>0</v>
      </c>
      <c r="T149" s="5">
        <v>0</v>
      </c>
      <c r="U149" t="s">
        <v>57</v>
      </c>
      <c r="V149" t="s">
        <v>550</v>
      </c>
      <c r="W149" s="5"/>
      <c r="X149" s="4"/>
      <c r="Y149" s="4"/>
      <c r="Z149" s="4"/>
      <c r="AA149" s="4">
        <f t="shared" si="6"/>
        <v>8.6719464234824741</v>
      </c>
      <c r="AB149" s="6">
        <f t="shared" si="7"/>
        <v>2.5358216666666666</v>
      </c>
      <c r="AC149" s="6" t="str">
        <f t="shared" si="8"/>
        <v/>
      </c>
    </row>
    <row r="150" spans="1:29">
      <c r="A150" t="s">
        <v>551</v>
      </c>
      <c r="B150" t="s">
        <v>552</v>
      </c>
      <c r="C150" s="3">
        <v>44939</v>
      </c>
      <c r="D150">
        <v>2023</v>
      </c>
      <c r="E150">
        <v>1</v>
      </c>
      <c r="F150" t="s">
        <v>37</v>
      </c>
      <c r="G150" s="4">
        <v>10.265326</v>
      </c>
      <c r="H150" s="4">
        <v>25</v>
      </c>
      <c r="I150" s="5">
        <v>3023</v>
      </c>
      <c r="J150" s="5">
        <v>107</v>
      </c>
      <c r="K150" t="s">
        <v>83</v>
      </c>
      <c r="L150" t="s">
        <v>83</v>
      </c>
      <c r="M150" t="s">
        <v>61</v>
      </c>
      <c r="N150" t="s">
        <v>61</v>
      </c>
      <c r="O150" t="s">
        <v>84</v>
      </c>
      <c r="P150" t="s">
        <v>84</v>
      </c>
      <c r="Q150" t="s">
        <v>42</v>
      </c>
      <c r="R150" t="s">
        <v>43</v>
      </c>
      <c r="S150" s="5">
        <v>0</v>
      </c>
      <c r="T150" s="5">
        <v>0</v>
      </c>
      <c r="U150" t="s">
        <v>44</v>
      </c>
      <c r="V150" t="s">
        <v>553</v>
      </c>
      <c r="W150" s="5">
        <v>94</v>
      </c>
      <c r="X150" s="4">
        <v>32.11</v>
      </c>
      <c r="Y150" s="4">
        <v>15.74</v>
      </c>
      <c r="Z150" s="4">
        <v>47.86</v>
      </c>
      <c r="AA150" s="4">
        <f t="shared" si="6"/>
        <v>3.3957413165729404</v>
      </c>
      <c r="AB150" s="6">
        <f t="shared" si="7"/>
        <v>0.41061303999999998</v>
      </c>
      <c r="AC150" s="6">
        <f t="shared" si="8"/>
        <v>1.9143999999999999</v>
      </c>
    </row>
    <row r="151" spans="1:29">
      <c r="A151" t="s">
        <v>554</v>
      </c>
      <c r="B151" t="s">
        <v>555</v>
      </c>
      <c r="C151" s="3">
        <v>44939</v>
      </c>
      <c r="D151">
        <v>2023</v>
      </c>
      <c r="E151">
        <v>1</v>
      </c>
      <c r="F151" t="s">
        <v>37</v>
      </c>
      <c r="G151" s="4">
        <v>0.81894299999999998</v>
      </c>
      <c r="H151" s="4">
        <v>1.4999999999999999E-2</v>
      </c>
      <c r="I151" s="5">
        <v>692</v>
      </c>
      <c r="J151" s="5">
        <v>100</v>
      </c>
      <c r="M151" t="s">
        <v>39</v>
      </c>
      <c r="N151" t="s">
        <v>39</v>
      </c>
      <c r="O151" t="s">
        <v>556</v>
      </c>
      <c r="P151" t="s">
        <v>56</v>
      </c>
      <c r="Q151" t="s">
        <v>557</v>
      </c>
      <c r="R151" t="s">
        <v>64</v>
      </c>
      <c r="S151" s="5">
        <v>0</v>
      </c>
      <c r="T151" s="5">
        <v>0</v>
      </c>
      <c r="U151" t="s">
        <v>57</v>
      </c>
      <c r="V151" t="s">
        <v>558</v>
      </c>
      <c r="W151" s="5"/>
      <c r="X151" s="4"/>
      <c r="Y151" s="4"/>
      <c r="Z151" s="4"/>
      <c r="AA151" s="4">
        <f t="shared" si="6"/>
        <v>1.183443641618497</v>
      </c>
      <c r="AB151" s="6">
        <f t="shared" si="7"/>
        <v>54.596200000000003</v>
      </c>
      <c r="AC151" s="6" t="str">
        <f t="shared" si="8"/>
        <v/>
      </c>
    </row>
    <row r="152" spans="1:29">
      <c r="A152" t="s">
        <v>559</v>
      </c>
      <c r="B152" t="s">
        <v>560</v>
      </c>
      <c r="C152" s="3">
        <v>44946</v>
      </c>
      <c r="D152">
        <v>2023</v>
      </c>
      <c r="E152">
        <v>1</v>
      </c>
      <c r="F152" t="s">
        <v>37</v>
      </c>
      <c r="G152" s="4">
        <v>9.1546950000000002</v>
      </c>
      <c r="H152" s="4">
        <v>7</v>
      </c>
      <c r="I152" s="5">
        <v>3025</v>
      </c>
      <c r="J152" s="5">
        <v>111</v>
      </c>
      <c r="K152" t="s">
        <v>38</v>
      </c>
      <c r="L152" t="s">
        <v>38</v>
      </c>
      <c r="M152" t="s">
        <v>54</v>
      </c>
      <c r="N152" t="s">
        <v>54</v>
      </c>
      <c r="O152" t="s">
        <v>40</v>
      </c>
      <c r="P152" t="s">
        <v>41</v>
      </c>
      <c r="Q152" t="s">
        <v>42</v>
      </c>
      <c r="R152" t="s">
        <v>43</v>
      </c>
      <c r="S152" s="5">
        <v>0</v>
      </c>
      <c r="T152" s="5">
        <v>0</v>
      </c>
      <c r="U152" t="s">
        <v>44</v>
      </c>
      <c r="V152" t="s">
        <v>561</v>
      </c>
      <c r="W152" s="5">
        <v>90</v>
      </c>
      <c r="X152" s="4">
        <v>32.5</v>
      </c>
      <c r="Y152" s="4">
        <v>14.04</v>
      </c>
      <c r="Z152" s="4">
        <v>46.54</v>
      </c>
      <c r="AA152" s="4">
        <f t="shared" si="6"/>
        <v>3.0263454545454542</v>
      </c>
      <c r="AB152" s="6">
        <f t="shared" si="7"/>
        <v>1.3078135714285715</v>
      </c>
      <c r="AC152" s="6">
        <f t="shared" si="8"/>
        <v>6.6485714285714286</v>
      </c>
    </row>
    <row r="153" spans="1:29">
      <c r="A153" t="s">
        <v>562</v>
      </c>
      <c r="B153" t="s">
        <v>563</v>
      </c>
      <c r="C153" s="3">
        <v>44960</v>
      </c>
      <c r="D153">
        <v>2023</v>
      </c>
      <c r="E153">
        <v>2</v>
      </c>
      <c r="F153" t="s">
        <v>37</v>
      </c>
      <c r="G153" s="4">
        <v>12.701639999999999</v>
      </c>
      <c r="H153" s="4">
        <v>28</v>
      </c>
      <c r="I153" s="5">
        <v>3912</v>
      </c>
      <c r="J153" s="5">
        <v>98</v>
      </c>
      <c r="K153" t="s">
        <v>38</v>
      </c>
      <c r="L153" t="s">
        <v>38</v>
      </c>
      <c r="M153" t="s">
        <v>94</v>
      </c>
      <c r="N153" t="s">
        <v>94</v>
      </c>
      <c r="O153" t="s">
        <v>95</v>
      </c>
      <c r="P153" t="s">
        <v>96</v>
      </c>
      <c r="Q153" t="s">
        <v>42</v>
      </c>
      <c r="R153" t="s">
        <v>43</v>
      </c>
      <c r="S153" s="5">
        <v>0</v>
      </c>
      <c r="T153" s="5">
        <v>0</v>
      </c>
      <c r="U153" t="s">
        <v>44</v>
      </c>
      <c r="V153" t="s">
        <v>564</v>
      </c>
      <c r="W153" s="5">
        <v>89</v>
      </c>
      <c r="X153" s="4">
        <v>39.450000000000003</v>
      </c>
      <c r="Y153" s="4">
        <v>0.94</v>
      </c>
      <c r="Z153" s="4">
        <v>40.380000000000003</v>
      </c>
      <c r="AA153" s="4">
        <f t="shared" si="6"/>
        <v>3.2468404907975459</v>
      </c>
      <c r="AB153" s="6">
        <f t="shared" si="7"/>
        <v>0.45362999999999998</v>
      </c>
      <c r="AC153" s="6">
        <f t="shared" si="8"/>
        <v>1.4421428571428572</v>
      </c>
    </row>
    <row r="154" spans="1:29">
      <c r="A154" t="s">
        <v>565</v>
      </c>
      <c r="B154" t="s">
        <v>566</v>
      </c>
      <c r="C154" s="3">
        <v>44960</v>
      </c>
      <c r="D154">
        <v>2023</v>
      </c>
      <c r="E154">
        <v>2</v>
      </c>
      <c r="F154" t="s">
        <v>37</v>
      </c>
      <c r="G154" s="4">
        <v>14.12717</v>
      </c>
      <c r="H154" s="4">
        <v>20</v>
      </c>
      <c r="I154" s="5">
        <v>3643</v>
      </c>
      <c r="J154" s="5">
        <v>139</v>
      </c>
      <c r="K154" t="s">
        <v>83</v>
      </c>
      <c r="L154" t="s">
        <v>83</v>
      </c>
      <c r="M154" t="s">
        <v>54</v>
      </c>
      <c r="N154" t="s">
        <v>54</v>
      </c>
      <c r="O154" t="s">
        <v>68</v>
      </c>
      <c r="P154" t="s">
        <v>68</v>
      </c>
      <c r="Q154" t="s">
        <v>42</v>
      </c>
      <c r="R154" t="s">
        <v>43</v>
      </c>
      <c r="S154" s="5">
        <v>0</v>
      </c>
      <c r="T154" s="5">
        <v>0</v>
      </c>
      <c r="U154" t="s">
        <v>44</v>
      </c>
      <c r="V154" t="s">
        <v>567</v>
      </c>
      <c r="W154" s="5">
        <v>63</v>
      </c>
      <c r="X154" s="4">
        <v>35.4</v>
      </c>
      <c r="Y154" s="4">
        <v>19.309999999999999</v>
      </c>
      <c r="Z154" s="4">
        <v>54.71</v>
      </c>
      <c r="AA154" s="4">
        <f t="shared" si="6"/>
        <v>3.8778945923689268</v>
      </c>
      <c r="AB154" s="6">
        <f t="shared" si="7"/>
        <v>0.7063585</v>
      </c>
      <c r="AC154" s="6">
        <f t="shared" si="8"/>
        <v>2.7355</v>
      </c>
    </row>
    <row r="155" spans="1:29">
      <c r="A155" t="s">
        <v>568</v>
      </c>
      <c r="B155" t="s">
        <v>569</v>
      </c>
      <c r="C155" s="3">
        <v>44967</v>
      </c>
      <c r="D155">
        <v>2023</v>
      </c>
      <c r="E155">
        <v>2</v>
      </c>
      <c r="F155" t="s">
        <v>37</v>
      </c>
      <c r="G155" s="4">
        <v>8.3053170000000005</v>
      </c>
      <c r="H155" s="4">
        <v>45</v>
      </c>
      <c r="I155" s="5">
        <v>1496</v>
      </c>
      <c r="J155" s="5">
        <v>110</v>
      </c>
      <c r="K155" t="s">
        <v>83</v>
      </c>
      <c r="L155" t="s">
        <v>83</v>
      </c>
      <c r="M155" t="s">
        <v>94</v>
      </c>
      <c r="N155" t="s">
        <v>94</v>
      </c>
      <c r="O155" t="s">
        <v>140</v>
      </c>
      <c r="P155" t="s">
        <v>141</v>
      </c>
      <c r="Q155" t="s">
        <v>42</v>
      </c>
      <c r="R155" t="s">
        <v>43</v>
      </c>
      <c r="S155" s="5">
        <v>0</v>
      </c>
      <c r="T155" s="5">
        <v>0</v>
      </c>
      <c r="U155" t="s">
        <v>44</v>
      </c>
      <c r="V155" t="s">
        <v>570</v>
      </c>
      <c r="W155" s="5">
        <v>74</v>
      </c>
      <c r="X155" s="4">
        <v>26.03</v>
      </c>
      <c r="Y155" s="4">
        <v>31.1</v>
      </c>
      <c r="Z155" s="4">
        <v>57.13</v>
      </c>
      <c r="AA155" s="4">
        <f t="shared" si="6"/>
        <v>5.5516824866310168</v>
      </c>
      <c r="AB155" s="6">
        <f t="shared" si="7"/>
        <v>0.18456260000000002</v>
      </c>
      <c r="AC155" s="6">
        <f t="shared" si="8"/>
        <v>1.2695555555555555</v>
      </c>
    </row>
    <row r="156" spans="1:29">
      <c r="A156" t="s">
        <v>571</v>
      </c>
      <c r="B156" t="s">
        <v>572</v>
      </c>
      <c r="C156" s="3">
        <v>44974</v>
      </c>
      <c r="D156">
        <v>2023</v>
      </c>
      <c r="E156">
        <v>2</v>
      </c>
      <c r="F156" t="s">
        <v>37</v>
      </c>
      <c r="G156" s="4">
        <v>106.10965</v>
      </c>
      <c r="H156" s="4">
        <v>200</v>
      </c>
      <c r="I156" s="5">
        <v>4345</v>
      </c>
      <c r="J156" s="5">
        <v>124</v>
      </c>
      <c r="K156" t="s">
        <v>38</v>
      </c>
      <c r="L156" t="s">
        <v>38</v>
      </c>
      <c r="M156" t="s">
        <v>61</v>
      </c>
      <c r="N156" t="s">
        <v>61</v>
      </c>
      <c r="O156" t="s">
        <v>107</v>
      </c>
      <c r="P156" t="s">
        <v>74</v>
      </c>
      <c r="Q156" t="s">
        <v>42</v>
      </c>
      <c r="R156" t="s">
        <v>43</v>
      </c>
      <c r="S156" s="5">
        <v>0</v>
      </c>
      <c r="T156" s="5">
        <v>0</v>
      </c>
      <c r="U156" t="s">
        <v>44</v>
      </c>
      <c r="V156" t="s">
        <v>573</v>
      </c>
      <c r="W156" s="5">
        <v>81</v>
      </c>
      <c r="X156" s="4">
        <v>214.51</v>
      </c>
      <c r="Y156" s="4">
        <v>249.13</v>
      </c>
      <c r="Z156" s="4">
        <v>463.64</v>
      </c>
      <c r="AA156" s="4">
        <f t="shared" si="6"/>
        <v>24.421093210586882</v>
      </c>
      <c r="AB156" s="6">
        <f t="shared" si="7"/>
        <v>0.53054825000000005</v>
      </c>
      <c r="AC156" s="6">
        <f t="shared" si="8"/>
        <v>2.3182</v>
      </c>
    </row>
    <row r="157" spans="1:29">
      <c r="A157" t="s">
        <v>574</v>
      </c>
      <c r="B157" t="s">
        <v>575</v>
      </c>
      <c r="C157" s="3">
        <v>44981</v>
      </c>
      <c r="D157">
        <v>2023</v>
      </c>
      <c r="E157">
        <v>2</v>
      </c>
      <c r="F157" t="s">
        <v>37</v>
      </c>
      <c r="G157" s="4">
        <v>15.882066999999999</v>
      </c>
      <c r="H157" s="4">
        <v>15</v>
      </c>
      <c r="I157" s="5">
        <v>2475</v>
      </c>
      <c r="J157" s="5">
        <v>120</v>
      </c>
      <c r="K157" t="s">
        <v>38</v>
      </c>
      <c r="L157" t="s">
        <v>38</v>
      </c>
      <c r="M157" t="s">
        <v>50</v>
      </c>
      <c r="N157" t="s">
        <v>50</v>
      </c>
      <c r="O157" t="s">
        <v>84</v>
      </c>
      <c r="P157" t="s">
        <v>84</v>
      </c>
      <c r="Q157" t="s">
        <v>42</v>
      </c>
      <c r="R157" t="s">
        <v>43</v>
      </c>
      <c r="S157" s="5">
        <v>0</v>
      </c>
      <c r="T157" s="5">
        <v>0</v>
      </c>
      <c r="U157" t="s">
        <v>44</v>
      </c>
      <c r="V157" t="s">
        <v>576</v>
      </c>
      <c r="W157" s="5">
        <v>99</v>
      </c>
      <c r="X157" s="4">
        <v>52.1</v>
      </c>
      <c r="Y157" s="4">
        <v>1.28</v>
      </c>
      <c r="Z157" s="4">
        <v>53.38</v>
      </c>
      <c r="AA157" s="4">
        <f t="shared" si="6"/>
        <v>6.4169967676767676</v>
      </c>
      <c r="AB157" s="6">
        <f t="shared" si="7"/>
        <v>1.0588044666666667</v>
      </c>
      <c r="AC157" s="6">
        <f t="shared" si="8"/>
        <v>3.5586666666666669</v>
      </c>
    </row>
    <row r="158" spans="1:29">
      <c r="A158" t="s">
        <v>577</v>
      </c>
      <c r="B158" t="s">
        <v>578</v>
      </c>
      <c r="C158" s="3">
        <v>44988</v>
      </c>
      <c r="D158">
        <v>2023</v>
      </c>
      <c r="E158">
        <v>3</v>
      </c>
      <c r="F158" t="s">
        <v>37</v>
      </c>
      <c r="G158" s="4">
        <v>58.370007000000001</v>
      </c>
      <c r="H158" s="4">
        <v>75</v>
      </c>
      <c r="I158" s="5">
        <v>4007</v>
      </c>
      <c r="J158" s="5">
        <v>116</v>
      </c>
      <c r="K158" t="s">
        <v>38</v>
      </c>
      <c r="L158" t="s">
        <v>38</v>
      </c>
      <c r="M158" t="s">
        <v>50</v>
      </c>
      <c r="N158" t="s">
        <v>50</v>
      </c>
      <c r="O158" t="s">
        <v>579</v>
      </c>
      <c r="P158" t="s">
        <v>56</v>
      </c>
      <c r="Q158" t="s">
        <v>42</v>
      </c>
      <c r="R158" t="s">
        <v>43</v>
      </c>
      <c r="S158" s="5">
        <v>0</v>
      </c>
      <c r="T158" s="5">
        <v>0</v>
      </c>
      <c r="U158" t="s">
        <v>44</v>
      </c>
      <c r="V158" t="s">
        <v>580</v>
      </c>
      <c r="W158" s="5">
        <v>95</v>
      </c>
      <c r="X158" s="4">
        <v>156.25</v>
      </c>
      <c r="Y158" s="4">
        <v>119.9</v>
      </c>
      <c r="Z158" s="4">
        <v>276.14999999999998</v>
      </c>
      <c r="AA158" s="4">
        <f t="shared" si="6"/>
        <v>14.567009483404043</v>
      </c>
      <c r="AB158" s="6">
        <f t="shared" si="7"/>
        <v>0.77826676000000006</v>
      </c>
      <c r="AC158" s="6">
        <f t="shared" si="8"/>
        <v>3.6819999999999995</v>
      </c>
    </row>
    <row r="159" spans="1:29">
      <c r="A159" t="s">
        <v>581</v>
      </c>
      <c r="B159" t="s">
        <v>582</v>
      </c>
      <c r="C159" s="3">
        <v>44995</v>
      </c>
      <c r="D159">
        <v>2023</v>
      </c>
      <c r="E159">
        <v>3</v>
      </c>
      <c r="F159" t="s">
        <v>37</v>
      </c>
      <c r="G159" s="4">
        <v>12.328360999999999</v>
      </c>
      <c r="H159" s="4">
        <v>45</v>
      </c>
      <c r="I159" s="5">
        <v>3405</v>
      </c>
      <c r="J159" s="5">
        <v>93</v>
      </c>
      <c r="K159" t="s">
        <v>38</v>
      </c>
      <c r="L159" t="s">
        <v>38</v>
      </c>
      <c r="M159" t="s">
        <v>54</v>
      </c>
      <c r="N159" t="s">
        <v>54</v>
      </c>
      <c r="O159" t="s">
        <v>40</v>
      </c>
      <c r="P159" t="s">
        <v>41</v>
      </c>
      <c r="Q159" t="s">
        <v>42</v>
      </c>
      <c r="R159" t="s">
        <v>43</v>
      </c>
      <c r="S159" s="5">
        <v>0</v>
      </c>
      <c r="T159" s="5">
        <v>0</v>
      </c>
      <c r="U159" t="s">
        <v>44</v>
      </c>
      <c r="V159" t="s">
        <v>583</v>
      </c>
      <c r="W159" s="5">
        <v>64</v>
      </c>
      <c r="X159" s="4">
        <v>32.06</v>
      </c>
      <c r="Y159" s="4">
        <v>24.18</v>
      </c>
      <c r="Z159" s="4">
        <v>56.24</v>
      </c>
      <c r="AA159" s="4">
        <f t="shared" si="6"/>
        <v>3.6206640234948604</v>
      </c>
      <c r="AB159" s="6">
        <f t="shared" si="7"/>
        <v>0.27396357777777774</v>
      </c>
      <c r="AC159" s="6">
        <f t="shared" si="8"/>
        <v>1.2497777777777779</v>
      </c>
    </row>
    <row r="160" spans="1:29">
      <c r="A160" t="s">
        <v>584</v>
      </c>
      <c r="B160" t="s">
        <v>585</v>
      </c>
      <c r="C160" s="3">
        <v>45002</v>
      </c>
      <c r="D160">
        <v>2023</v>
      </c>
      <c r="E160">
        <v>3</v>
      </c>
      <c r="F160" t="s">
        <v>37</v>
      </c>
      <c r="G160" s="4">
        <v>30.111158</v>
      </c>
      <c r="H160" s="4">
        <v>125</v>
      </c>
      <c r="I160" s="5">
        <v>4071</v>
      </c>
      <c r="J160" s="5">
        <v>130</v>
      </c>
      <c r="K160" t="s">
        <v>38</v>
      </c>
      <c r="L160" t="s">
        <v>38</v>
      </c>
      <c r="M160" t="s">
        <v>61</v>
      </c>
      <c r="N160" t="s">
        <v>61</v>
      </c>
      <c r="O160" t="s">
        <v>140</v>
      </c>
      <c r="P160" t="s">
        <v>141</v>
      </c>
      <c r="Q160" t="s">
        <v>42</v>
      </c>
      <c r="R160" t="s">
        <v>43</v>
      </c>
      <c r="S160" s="5">
        <v>0</v>
      </c>
      <c r="T160" s="5">
        <v>0</v>
      </c>
      <c r="U160" t="s">
        <v>44</v>
      </c>
      <c r="V160" t="s">
        <v>586</v>
      </c>
      <c r="W160" s="5">
        <v>85</v>
      </c>
      <c r="X160" s="4">
        <v>57.72</v>
      </c>
      <c r="Y160" s="4">
        <v>76.5</v>
      </c>
      <c r="Z160" s="4">
        <v>134.22</v>
      </c>
      <c r="AA160" s="4">
        <f t="shared" si="6"/>
        <v>7.3965015966592977</v>
      </c>
      <c r="AB160" s="6">
        <f t="shared" si="7"/>
        <v>0.24088926399999999</v>
      </c>
      <c r="AC160" s="6">
        <f t="shared" si="8"/>
        <v>1.07376</v>
      </c>
    </row>
    <row r="161" spans="1:29">
      <c r="A161" t="s">
        <v>587</v>
      </c>
      <c r="B161" t="s">
        <v>588</v>
      </c>
      <c r="C161" s="3">
        <v>45009</v>
      </c>
      <c r="D161">
        <v>2023</v>
      </c>
      <c r="E161">
        <v>3</v>
      </c>
      <c r="F161" t="s">
        <v>37</v>
      </c>
      <c r="G161" s="4">
        <v>73.817949999999996</v>
      </c>
      <c r="H161" s="4">
        <v>100</v>
      </c>
      <c r="I161" s="5">
        <v>3855</v>
      </c>
      <c r="J161" s="5">
        <v>169</v>
      </c>
      <c r="K161" t="s">
        <v>83</v>
      </c>
      <c r="L161" t="s">
        <v>83</v>
      </c>
      <c r="M161" t="s">
        <v>61</v>
      </c>
      <c r="N161" t="s">
        <v>61</v>
      </c>
      <c r="O161" t="s">
        <v>84</v>
      </c>
      <c r="P161" t="s">
        <v>84</v>
      </c>
      <c r="Q161" t="s">
        <v>42</v>
      </c>
      <c r="R161" t="s">
        <v>43</v>
      </c>
      <c r="S161" s="5">
        <v>0</v>
      </c>
      <c r="T161" s="5">
        <v>0</v>
      </c>
      <c r="U161" t="s">
        <v>57</v>
      </c>
      <c r="V161" t="s">
        <v>589</v>
      </c>
      <c r="W161" s="5"/>
      <c r="X161" s="4"/>
      <c r="Y161" s="4"/>
      <c r="Z161" s="4"/>
      <c r="AA161" s="4">
        <f t="shared" si="6"/>
        <v>19.148625162127107</v>
      </c>
      <c r="AB161" s="6">
        <f t="shared" si="7"/>
        <v>0.73817949999999999</v>
      </c>
      <c r="AC161" s="6" t="str">
        <f t="shared" si="8"/>
        <v/>
      </c>
    </row>
    <row r="162" spans="1:29">
      <c r="A162" t="s">
        <v>590</v>
      </c>
      <c r="B162" t="s">
        <v>591</v>
      </c>
      <c r="C162" s="3">
        <v>45016</v>
      </c>
      <c r="D162">
        <v>2023</v>
      </c>
      <c r="E162">
        <v>3</v>
      </c>
      <c r="F162" t="s">
        <v>37</v>
      </c>
      <c r="G162" s="4">
        <v>37.205784000000001</v>
      </c>
      <c r="H162" s="4">
        <v>150</v>
      </c>
      <c r="I162" s="5">
        <v>3855</v>
      </c>
      <c r="J162" s="5">
        <v>134</v>
      </c>
      <c r="K162" t="s">
        <v>38</v>
      </c>
      <c r="L162" t="s">
        <v>38</v>
      </c>
      <c r="M162" t="s">
        <v>72</v>
      </c>
      <c r="N162" t="s">
        <v>72</v>
      </c>
      <c r="O162" t="s">
        <v>95</v>
      </c>
      <c r="P162" t="s">
        <v>96</v>
      </c>
      <c r="Q162" t="s">
        <v>42</v>
      </c>
      <c r="R162" t="s">
        <v>43</v>
      </c>
      <c r="S162" s="5">
        <v>0</v>
      </c>
      <c r="T162" s="5">
        <v>0</v>
      </c>
      <c r="U162" t="s">
        <v>44</v>
      </c>
      <c r="V162" t="s">
        <v>592</v>
      </c>
      <c r="W162" s="5">
        <v>92</v>
      </c>
      <c r="X162" s="4">
        <v>93.55</v>
      </c>
      <c r="Y162" s="4">
        <v>114.31</v>
      </c>
      <c r="Z162" s="4">
        <v>207.85</v>
      </c>
      <c r="AA162" s="4">
        <f t="shared" si="6"/>
        <v>9.6513058365758759</v>
      </c>
      <c r="AB162" s="6">
        <f t="shared" si="7"/>
        <v>0.24803856000000002</v>
      </c>
      <c r="AC162" s="6">
        <f t="shared" si="8"/>
        <v>1.3856666666666666</v>
      </c>
    </row>
    <row r="163" spans="1:29">
      <c r="A163" t="s">
        <v>593</v>
      </c>
      <c r="B163" t="s">
        <v>594</v>
      </c>
      <c r="C163" s="3">
        <v>45016</v>
      </c>
      <c r="D163">
        <v>2023</v>
      </c>
      <c r="E163">
        <v>3</v>
      </c>
      <c r="F163" t="s">
        <v>37</v>
      </c>
      <c r="G163" s="4">
        <v>5.5010700000000003</v>
      </c>
      <c r="H163" s="4">
        <v>0.25</v>
      </c>
      <c r="I163" s="5">
        <v>1920</v>
      </c>
      <c r="J163" s="5">
        <v>106</v>
      </c>
      <c r="K163" t="s">
        <v>38</v>
      </c>
      <c r="L163" t="s">
        <v>38</v>
      </c>
      <c r="M163" t="s">
        <v>50</v>
      </c>
      <c r="N163" t="s">
        <v>50</v>
      </c>
      <c r="O163" t="s">
        <v>595</v>
      </c>
      <c r="P163" t="s">
        <v>56</v>
      </c>
      <c r="Q163" t="s">
        <v>42</v>
      </c>
      <c r="R163" t="s">
        <v>43</v>
      </c>
      <c r="S163" s="5">
        <v>0</v>
      </c>
      <c r="T163" s="5">
        <v>0</v>
      </c>
      <c r="U163" t="s">
        <v>44</v>
      </c>
      <c r="V163" t="s">
        <v>596</v>
      </c>
      <c r="W163" s="5">
        <v>96</v>
      </c>
      <c r="X163" s="4">
        <v>12.08</v>
      </c>
      <c r="Y163" s="4">
        <v>1.42</v>
      </c>
      <c r="Z163" s="4">
        <v>13.51</v>
      </c>
      <c r="AA163" s="4">
        <f t="shared" si="6"/>
        <v>2.8651406250000004</v>
      </c>
      <c r="AB163" s="6">
        <f t="shared" si="7"/>
        <v>22.004280000000001</v>
      </c>
      <c r="AC163" s="6">
        <f t="shared" si="8"/>
        <v>54.04</v>
      </c>
    </row>
    <row r="164" spans="1:29">
      <c r="A164" t="s">
        <v>597</v>
      </c>
      <c r="B164" t="s">
        <v>598</v>
      </c>
      <c r="C164" s="3">
        <v>45021</v>
      </c>
      <c r="D164">
        <v>2023</v>
      </c>
      <c r="E164">
        <v>4</v>
      </c>
      <c r="F164" t="s">
        <v>136</v>
      </c>
      <c r="G164" s="4">
        <v>146.36186499999999</v>
      </c>
      <c r="H164" s="4">
        <v>100</v>
      </c>
      <c r="I164" s="5">
        <v>4343</v>
      </c>
      <c r="J164" s="5">
        <v>92</v>
      </c>
      <c r="K164" t="s">
        <v>48</v>
      </c>
      <c r="L164" t="s">
        <v>49</v>
      </c>
      <c r="M164" t="s">
        <v>72</v>
      </c>
      <c r="N164" t="s">
        <v>72</v>
      </c>
      <c r="O164" t="s">
        <v>68</v>
      </c>
      <c r="P164" t="s">
        <v>68</v>
      </c>
      <c r="Q164" t="s">
        <v>165</v>
      </c>
      <c r="R164" t="s">
        <v>64</v>
      </c>
      <c r="S164" s="5">
        <v>0</v>
      </c>
      <c r="T164" s="5">
        <v>0</v>
      </c>
      <c r="U164" t="s">
        <v>44</v>
      </c>
      <c r="V164" t="s">
        <v>599</v>
      </c>
      <c r="W164" s="5">
        <v>95</v>
      </c>
      <c r="X164" s="4">
        <v>574.92999999999995</v>
      </c>
      <c r="Y164" s="4">
        <v>784.21</v>
      </c>
      <c r="Z164" s="4">
        <v>1359.15</v>
      </c>
      <c r="AA164" s="4">
        <f t="shared" si="6"/>
        <v>33.700636656688921</v>
      </c>
      <c r="AB164" s="6">
        <f t="shared" si="7"/>
        <v>1.4636186499999999</v>
      </c>
      <c r="AC164" s="6">
        <f t="shared" si="8"/>
        <v>13.591500000000002</v>
      </c>
    </row>
    <row r="165" spans="1:29">
      <c r="A165" t="s">
        <v>600</v>
      </c>
      <c r="B165" t="s">
        <v>601</v>
      </c>
      <c r="C165" s="3">
        <v>45030</v>
      </c>
      <c r="D165">
        <v>2023</v>
      </c>
      <c r="E165">
        <v>4</v>
      </c>
      <c r="F165" t="s">
        <v>136</v>
      </c>
      <c r="G165" s="4">
        <v>2.0322019999999998</v>
      </c>
      <c r="H165" s="4">
        <v>41</v>
      </c>
      <c r="I165" s="5">
        <v>2002</v>
      </c>
      <c r="J165" s="5">
        <v>101</v>
      </c>
      <c r="K165" t="s">
        <v>83</v>
      </c>
      <c r="L165" t="s">
        <v>83</v>
      </c>
      <c r="M165" t="s">
        <v>94</v>
      </c>
      <c r="N165" t="s">
        <v>94</v>
      </c>
      <c r="O165" t="s">
        <v>240</v>
      </c>
      <c r="P165" t="s">
        <v>56</v>
      </c>
      <c r="Q165" t="s">
        <v>602</v>
      </c>
      <c r="R165" t="s">
        <v>64</v>
      </c>
      <c r="S165" s="5">
        <v>0</v>
      </c>
      <c r="T165" s="5">
        <v>0</v>
      </c>
      <c r="U165" t="s">
        <v>44</v>
      </c>
      <c r="V165" t="s">
        <v>603</v>
      </c>
      <c r="W165" s="5">
        <v>67</v>
      </c>
      <c r="X165" s="4">
        <v>3.5</v>
      </c>
      <c r="Y165" s="4">
        <v>4.28</v>
      </c>
      <c r="Z165" s="4">
        <v>7.78</v>
      </c>
      <c r="AA165" s="4">
        <f t="shared" si="6"/>
        <v>1.0150859140859139</v>
      </c>
      <c r="AB165" s="6">
        <f t="shared" si="7"/>
        <v>4.9565902439024388E-2</v>
      </c>
      <c r="AC165" s="6">
        <f t="shared" si="8"/>
        <v>0.18975609756097561</v>
      </c>
    </row>
    <row r="166" spans="1:29">
      <c r="A166" t="s">
        <v>604</v>
      </c>
      <c r="B166" t="s">
        <v>605</v>
      </c>
      <c r="C166" s="3">
        <v>45030</v>
      </c>
      <c r="D166">
        <v>2023</v>
      </c>
      <c r="E166">
        <v>4</v>
      </c>
      <c r="F166" t="s">
        <v>136</v>
      </c>
      <c r="G166" s="4">
        <v>8.0264749999999996</v>
      </c>
      <c r="H166" s="4">
        <v>86.203076999999993</v>
      </c>
      <c r="I166" s="5">
        <v>3375</v>
      </c>
      <c r="J166" s="5">
        <v>93</v>
      </c>
      <c r="K166" t="s">
        <v>83</v>
      </c>
      <c r="L166" t="s">
        <v>83</v>
      </c>
      <c r="M166" t="s">
        <v>94</v>
      </c>
      <c r="N166" t="s">
        <v>94</v>
      </c>
      <c r="O166" t="s">
        <v>68</v>
      </c>
      <c r="P166" t="s">
        <v>68</v>
      </c>
      <c r="Q166" t="s">
        <v>42</v>
      </c>
      <c r="R166" t="s">
        <v>43</v>
      </c>
      <c r="S166" s="5">
        <v>0</v>
      </c>
      <c r="T166" s="5">
        <v>0</v>
      </c>
      <c r="U166" t="s">
        <v>44</v>
      </c>
      <c r="V166" t="s">
        <v>606</v>
      </c>
      <c r="W166" s="5">
        <v>79</v>
      </c>
      <c r="X166" s="4">
        <v>17.3</v>
      </c>
      <c r="Y166" s="4">
        <v>9.58</v>
      </c>
      <c r="Z166" s="4">
        <v>26.87</v>
      </c>
      <c r="AA166" s="4">
        <f t="shared" si="6"/>
        <v>2.3782148148148146</v>
      </c>
      <c r="AB166" s="6">
        <f t="shared" si="7"/>
        <v>9.3111235460887315E-2</v>
      </c>
      <c r="AC166" s="6">
        <f t="shared" si="8"/>
        <v>0.31170581068701297</v>
      </c>
    </row>
    <row r="167" spans="1:29">
      <c r="A167" t="s">
        <v>607</v>
      </c>
      <c r="B167" t="s">
        <v>608</v>
      </c>
      <c r="C167" s="3">
        <v>45030</v>
      </c>
      <c r="D167">
        <v>2023</v>
      </c>
      <c r="E167">
        <v>4</v>
      </c>
      <c r="F167" t="s">
        <v>136</v>
      </c>
      <c r="G167" s="4">
        <v>9.0063680000000002</v>
      </c>
      <c r="H167" s="4">
        <v>18</v>
      </c>
      <c r="I167" s="5">
        <v>3178</v>
      </c>
      <c r="J167" s="5">
        <v>103</v>
      </c>
      <c r="K167" t="s">
        <v>83</v>
      </c>
      <c r="L167" t="s">
        <v>83</v>
      </c>
      <c r="M167" t="s">
        <v>39</v>
      </c>
      <c r="N167" t="s">
        <v>39</v>
      </c>
      <c r="O167" t="s">
        <v>40</v>
      </c>
      <c r="P167" t="s">
        <v>41</v>
      </c>
      <c r="Q167" t="s">
        <v>609</v>
      </c>
      <c r="R167" t="s">
        <v>64</v>
      </c>
      <c r="S167" s="5">
        <v>0</v>
      </c>
      <c r="T167" s="5">
        <v>0</v>
      </c>
      <c r="U167" t="s">
        <v>44</v>
      </c>
      <c r="V167" t="s">
        <v>610</v>
      </c>
      <c r="W167" s="5">
        <v>80</v>
      </c>
      <c r="X167" s="4">
        <v>20.010000000000002</v>
      </c>
      <c r="Y167" s="4">
        <v>52.9</v>
      </c>
      <c r="Z167" s="4">
        <v>72.91</v>
      </c>
      <c r="AA167" s="4">
        <f t="shared" si="6"/>
        <v>2.8339735682819382</v>
      </c>
      <c r="AB167" s="6">
        <f t="shared" si="7"/>
        <v>0.50035377777777779</v>
      </c>
      <c r="AC167" s="6">
        <f t="shared" si="8"/>
        <v>4.0505555555555555</v>
      </c>
    </row>
    <row r="168" spans="1:29">
      <c r="A168" t="s">
        <v>611</v>
      </c>
      <c r="B168" t="s">
        <v>612</v>
      </c>
      <c r="C168" s="3">
        <v>45037</v>
      </c>
      <c r="D168">
        <v>2023</v>
      </c>
      <c r="E168">
        <v>4</v>
      </c>
      <c r="F168" t="s">
        <v>136</v>
      </c>
      <c r="G168" s="4">
        <v>24.504314999999998</v>
      </c>
      <c r="H168" s="4">
        <v>15</v>
      </c>
      <c r="I168" s="5">
        <v>3402</v>
      </c>
      <c r="J168" s="5">
        <v>97</v>
      </c>
      <c r="K168" t="s">
        <v>83</v>
      </c>
      <c r="L168" t="s">
        <v>83</v>
      </c>
      <c r="M168" t="s">
        <v>39</v>
      </c>
      <c r="N168" t="s">
        <v>39</v>
      </c>
      <c r="O168" t="s">
        <v>140</v>
      </c>
      <c r="P168" t="s">
        <v>141</v>
      </c>
      <c r="Q168" t="s">
        <v>42</v>
      </c>
      <c r="R168" t="s">
        <v>43</v>
      </c>
      <c r="S168" s="5">
        <v>0</v>
      </c>
      <c r="T168" s="5">
        <v>0</v>
      </c>
      <c r="U168" t="s">
        <v>44</v>
      </c>
      <c r="V168" t="s">
        <v>613</v>
      </c>
      <c r="W168" s="5">
        <v>76</v>
      </c>
      <c r="X168" s="4">
        <v>67.36</v>
      </c>
      <c r="Y168" s="4">
        <v>79.8</v>
      </c>
      <c r="Z168" s="4">
        <v>147.16</v>
      </c>
      <c r="AA168" s="4">
        <f t="shared" si="6"/>
        <v>7.2029144620811287</v>
      </c>
      <c r="AB168" s="6">
        <f t="shared" si="7"/>
        <v>1.633621</v>
      </c>
      <c r="AC168" s="6">
        <f t="shared" si="8"/>
        <v>9.8106666666666662</v>
      </c>
    </row>
    <row r="169" spans="1:29">
      <c r="A169" t="s">
        <v>614</v>
      </c>
      <c r="B169" t="s">
        <v>615</v>
      </c>
      <c r="C169" s="3">
        <v>45044</v>
      </c>
      <c r="D169">
        <v>2023</v>
      </c>
      <c r="E169">
        <v>4</v>
      </c>
      <c r="F169" t="s">
        <v>136</v>
      </c>
      <c r="G169" s="4">
        <v>2.9253640000000001</v>
      </c>
      <c r="H169" s="4">
        <v>32</v>
      </c>
      <c r="I169" s="5">
        <v>3054</v>
      </c>
      <c r="J169" s="5">
        <v>129</v>
      </c>
      <c r="K169" t="s">
        <v>38</v>
      </c>
      <c r="L169" t="s">
        <v>38</v>
      </c>
      <c r="M169" t="s">
        <v>50</v>
      </c>
      <c r="N169" t="s">
        <v>50</v>
      </c>
      <c r="O169" t="s">
        <v>40</v>
      </c>
      <c r="P169" t="s">
        <v>41</v>
      </c>
      <c r="Q169" t="s">
        <v>42</v>
      </c>
      <c r="R169" t="s">
        <v>43</v>
      </c>
      <c r="S169" s="5">
        <v>0</v>
      </c>
      <c r="T169" s="5">
        <v>0</v>
      </c>
      <c r="U169" t="s">
        <v>44</v>
      </c>
      <c r="V169" t="s">
        <v>616</v>
      </c>
      <c r="W169" s="5">
        <v>96</v>
      </c>
      <c r="X169" s="4">
        <v>5.43</v>
      </c>
      <c r="Y169" s="4">
        <v>0.28000000000000003</v>
      </c>
      <c r="Z169" s="4">
        <v>5.7</v>
      </c>
      <c r="AA169" s="4">
        <f t="shared" si="6"/>
        <v>0.95787950229207597</v>
      </c>
      <c r="AB169" s="6">
        <f t="shared" si="7"/>
        <v>9.1417625000000002E-2</v>
      </c>
      <c r="AC169" s="6">
        <f t="shared" si="8"/>
        <v>0.17812500000000001</v>
      </c>
    </row>
    <row r="170" spans="1:29">
      <c r="A170" t="s">
        <v>617</v>
      </c>
      <c r="B170" t="s">
        <v>618</v>
      </c>
      <c r="C170" s="3">
        <v>45051</v>
      </c>
      <c r="D170">
        <v>2023</v>
      </c>
      <c r="E170">
        <v>5</v>
      </c>
      <c r="F170" t="s">
        <v>136</v>
      </c>
      <c r="G170" s="4">
        <v>118.41402100000001</v>
      </c>
      <c r="H170" s="4">
        <v>250</v>
      </c>
      <c r="I170" s="5">
        <v>4450</v>
      </c>
      <c r="J170" s="5">
        <v>150</v>
      </c>
      <c r="K170" t="s">
        <v>38</v>
      </c>
      <c r="L170" t="s">
        <v>38</v>
      </c>
      <c r="M170" t="s">
        <v>61</v>
      </c>
      <c r="N170" t="s">
        <v>61</v>
      </c>
      <c r="O170" t="s">
        <v>107</v>
      </c>
      <c r="P170" t="s">
        <v>74</v>
      </c>
      <c r="Q170" t="s">
        <v>42</v>
      </c>
      <c r="R170" t="s">
        <v>43</v>
      </c>
      <c r="S170" s="5">
        <v>1</v>
      </c>
      <c r="T170" s="5">
        <v>0</v>
      </c>
      <c r="U170" t="s">
        <v>44</v>
      </c>
      <c r="V170" t="s">
        <v>619</v>
      </c>
      <c r="W170" s="5">
        <v>94</v>
      </c>
      <c r="X170" s="4">
        <v>359</v>
      </c>
      <c r="Y170" s="4">
        <v>486.17</v>
      </c>
      <c r="Z170" s="4">
        <v>845.16</v>
      </c>
      <c r="AA170" s="4">
        <f t="shared" si="6"/>
        <v>26.609892359550564</v>
      </c>
      <c r="AB170" s="6">
        <f t="shared" si="7"/>
        <v>0.47365608400000003</v>
      </c>
      <c r="AC170" s="6">
        <f t="shared" si="8"/>
        <v>3.3806400000000001</v>
      </c>
    </row>
    <row r="171" spans="1:29">
      <c r="A171" t="s">
        <v>620</v>
      </c>
      <c r="B171" t="s">
        <v>621</v>
      </c>
      <c r="C171" s="3">
        <v>45072</v>
      </c>
      <c r="D171">
        <v>2023</v>
      </c>
      <c r="E171">
        <v>5</v>
      </c>
      <c r="F171" t="s">
        <v>136</v>
      </c>
      <c r="G171" s="4">
        <v>4.321148</v>
      </c>
      <c r="H171" s="4">
        <v>30</v>
      </c>
      <c r="I171" s="5">
        <v>2464</v>
      </c>
      <c r="J171" s="5">
        <v>89</v>
      </c>
      <c r="K171" t="s">
        <v>38</v>
      </c>
      <c r="L171" t="s">
        <v>38</v>
      </c>
      <c r="M171" t="s">
        <v>94</v>
      </c>
      <c r="N171" t="s">
        <v>94</v>
      </c>
      <c r="O171" t="s">
        <v>84</v>
      </c>
      <c r="P171" t="s">
        <v>84</v>
      </c>
      <c r="Q171" t="s">
        <v>42</v>
      </c>
      <c r="R171" t="s">
        <v>43</v>
      </c>
      <c r="S171" s="5">
        <v>1</v>
      </c>
      <c r="T171" s="5">
        <v>0</v>
      </c>
      <c r="U171" t="s">
        <v>44</v>
      </c>
      <c r="V171" t="s">
        <v>622</v>
      </c>
      <c r="W171" s="5">
        <v>81</v>
      </c>
      <c r="X171" s="4">
        <v>12.09</v>
      </c>
      <c r="Y171" s="4">
        <v>5.57</v>
      </c>
      <c r="Z171" s="4">
        <v>17.66</v>
      </c>
      <c r="AA171" s="4">
        <f t="shared" si="6"/>
        <v>1.7537126623376624</v>
      </c>
      <c r="AB171" s="6">
        <f t="shared" si="7"/>
        <v>0.14403826666666666</v>
      </c>
      <c r="AC171" s="6">
        <f t="shared" si="8"/>
        <v>0.58866666666666667</v>
      </c>
    </row>
    <row r="172" spans="1:29">
      <c r="A172" t="s">
        <v>623</v>
      </c>
      <c r="B172" t="s">
        <v>624</v>
      </c>
      <c r="C172" s="3">
        <v>45072</v>
      </c>
      <c r="D172">
        <v>2023</v>
      </c>
      <c r="E172">
        <v>5</v>
      </c>
      <c r="F172" t="s">
        <v>136</v>
      </c>
      <c r="G172" s="4">
        <v>95.578040000000001</v>
      </c>
      <c r="H172" s="4">
        <v>250</v>
      </c>
      <c r="I172" s="5">
        <v>4320</v>
      </c>
      <c r="J172" s="5">
        <v>135</v>
      </c>
      <c r="K172" t="s">
        <v>48</v>
      </c>
      <c r="L172" t="s">
        <v>49</v>
      </c>
      <c r="M172" t="s">
        <v>362</v>
      </c>
      <c r="N172" t="s">
        <v>56</v>
      </c>
      <c r="O172" t="s">
        <v>107</v>
      </c>
      <c r="P172" t="s">
        <v>74</v>
      </c>
      <c r="Q172" t="s">
        <v>42</v>
      </c>
      <c r="R172" t="s">
        <v>43</v>
      </c>
      <c r="S172" s="5">
        <v>1</v>
      </c>
      <c r="T172" s="5">
        <v>0</v>
      </c>
      <c r="U172" t="s">
        <v>44</v>
      </c>
      <c r="V172" t="s">
        <v>625</v>
      </c>
      <c r="W172" s="5">
        <v>94</v>
      </c>
      <c r="X172" s="4">
        <v>298.17</v>
      </c>
      <c r="Y172" s="4">
        <v>271.45</v>
      </c>
      <c r="Z172" s="4">
        <v>569.63</v>
      </c>
      <c r="AA172" s="4">
        <f t="shared" si="6"/>
        <v>22.124546296296298</v>
      </c>
      <c r="AB172" s="6">
        <f t="shared" si="7"/>
        <v>0.38231216000000001</v>
      </c>
      <c r="AC172" s="6">
        <f t="shared" si="8"/>
        <v>2.2785199999999999</v>
      </c>
    </row>
    <row r="173" spans="1:29">
      <c r="A173" t="s">
        <v>626</v>
      </c>
      <c r="B173" t="s">
        <v>627</v>
      </c>
      <c r="C173" s="3">
        <v>45072</v>
      </c>
      <c r="D173">
        <v>2023</v>
      </c>
      <c r="E173">
        <v>5</v>
      </c>
      <c r="F173" t="s">
        <v>136</v>
      </c>
      <c r="G173" s="4">
        <v>5.0005449999999998</v>
      </c>
      <c r="H173" s="4">
        <v>20</v>
      </c>
      <c r="I173" s="5">
        <v>2409</v>
      </c>
      <c r="J173" s="5">
        <v>112</v>
      </c>
      <c r="K173" t="s">
        <v>83</v>
      </c>
      <c r="L173" t="s">
        <v>83</v>
      </c>
      <c r="M173" t="s">
        <v>61</v>
      </c>
      <c r="N173" t="s">
        <v>61</v>
      </c>
      <c r="O173" t="s">
        <v>40</v>
      </c>
      <c r="P173" t="s">
        <v>41</v>
      </c>
      <c r="Q173" t="s">
        <v>42</v>
      </c>
      <c r="R173" t="s">
        <v>43</v>
      </c>
      <c r="S173" s="5">
        <v>1</v>
      </c>
      <c r="T173" s="5">
        <v>0</v>
      </c>
      <c r="U173" t="s">
        <v>44</v>
      </c>
      <c r="V173" t="s">
        <v>628</v>
      </c>
      <c r="W173" s="5">
        <v>86</v>
      </c>
      <c r="X173" s="4">
        <v>10.46</v>
      </c>
      <c r="Y173" s="4">
        <v>0.2</v>
      </c>
      <c r="Z173" s="4">
        <v>10.66</v>
      </c>
      <c r="AA173" s="4">
        <f t="shared" si="6"/>
        <v>2.0757762557077628</v>
      </c>
      <c r="AB173" s="6">
        <f t="shared" si="7"/>
        <v>0.25002724999999998</v>
      </c>
      <c r="AC173" s="6">
        <f t="shared" si="8"/>
        <v>0.53300000000000003</v>
      </c>
    </row>
    <row r="174" spans="1:29">
      <c r="A174" t="s">
        <v>629</v>
      </c>
      <c r="B174" t="s">
        <v>630</v>
      </c>
      <c r="C174" s="3">
        <v>45079</v>
      </c>
      <c r="D174">
        <v>2023</v>
      </c>
      <c r="E174">
        <v>6</v>
      </c>
      <c r="F174" t="s">
        <v>136</v>
      </c>
      <c r="G174" s="4">
        <v>120.663589</v>
      </c>
      <c r="H174" s="4">
        <v>100</v>
      </c>
      <c r="I174" s="5">
        <v>4313</v>
      </c>
      <c r="J174" s="5">
        <v>140</v>
      </c>
      <c r="K174" t="s">
        <v>48</v>
      </c>
      <c r="L174" t="s">
        <v>49</v>
      </c>
      <c r="M174" t="s">
        <v>72</v>
      </c>
      <c r="N174" t="s">
        <v>72</v>
      </c>
      <c r="O174" t="s">
        <v>40</v>
      </c>
      <c r="P174" t="s">
        <v>41</v>
      </c>
      <c r="Q174" t="s">
        <v>42</v>
      </c>
      <c r="R174" t="s">
        <v>43</v>
      </c>
      <c r="S174" s="5">
        <v>1</v>
      </c>
      <c r="T174" s="5">
        <v>0</v>
      </c>
      <c r="U174" t="s">
        <v>44</v>
      </c>
      <c r="V174" t="s">
        <v>631</v>
      </c>
      <c r="W174" s="5">
        <v>94</v>
      </c>
      <c r="X174" s="4">
        <v>381.59</v>
      </c>
      <c r="Y174" s="4">
        <v>299.54000000000002</v>
      </c>
      <c r="Z174" s="4">
        <v>681.14</v>
      </c>
      <c r="AA174" s="4">
        <f t="shared" si="6"/>
        <v>27.976718989102714</v>
      </c>
      <c r="AB174" s="6">
        <f t="shared" si="7"/>
        <v>1.20663589</v>
      </c>
      <c r="AC174" s="6">
        <f t="shared" si="8"/>
        <v>6.8113999999999999</v>
      </c>
    </row>
    <row r="175" spans="1:29">
      <c r="A175" t="s">
        <v>632</v>
      </c>
      <c r="B175" t="s">
        <v>633</v>
      </c>
      <c r="C175" s="3">
        <v>45079</v>
      </c>
      <c r="D175">
        <v>2023</v>
      </c>
      <c r="E175">
        <v>6</v>
      </c>
      <c r="F175" t="s">
        <v>136</v>
      </c>
      <c r="G175" s="4">
        <v>12.356486</v>
      </c>
      <c r="H175" s="4">
        <v>35</v>
      </c>
      <c r="I175" s="5">
        <v>3205</v>
      </c>
      <c r="J175" s="5">
        <v>98</v>
      </c>
      <c r="K175" t="s">
        <v>38</v>
      </c>
      <c r="L175" t="s">
        <v>38</v>
      </c>
      <c r="M175" t="s">
        <v>39</v>
      </c>
      <c r="N175" t="s">
        <v>39</v>
      </c>
      <c r="O175" t="s">
        <v>413</v>
      </c>
      <c r="P175" t="s">
        <v>74</v>
      </c>
      <c r="Q175" t="s">
        <v>42</v>
      </c>
      <c r="R175" t="s">
        <v>43</v>
      </c>
      <c r="S175" s="5">
        <v>1</v>
      </c>
      <c r="T175" s="5">
        <v>0</v>
      </c>
      <c r="U175" t="s">
        <v>44</v>
      </c>
      <c r="V175" t="s">
        <v>634</v>
      </c>
      <c r="W175" s="5">
        <v>66</v>
      </c>
      <c r="X175" s="4">
        <v>43.24</v>
      </c>
      <c r="Y175" s="4">
        <v>39.1</v>
      </c>
      <c r="Z175" s="4">
        <v>82.34</v>
      </c>
      <c r="AA175" s="4">
        <f t="shared" si="6"/>
        <v>3.8553778471138846</v>
      </c>
      <c r="AB175" s="6">
        <f t="shared" si="7"/>
        <v>0.35304245714285715</v>
      </c>
      <c r="AC175" s="6">
        <f t="shared" si="8"/>
        <v>2.3525714285714288</v>
      </c>
    </row>
    <row r="176" spans="1:29">
      <c r="A176" t="s">
        <v>635</v>
      </c>
      <c r="B176" t="s">
        <v>636</v>
      </c>
      <c r="C176" s="3">
        <v>45086</v>
      </c>
      <c r="D176">
        <v>2023</v>
      </c>
      <c r="E176">
        <v>6</v>
      </c>
      <c r="F176" t="s">
        <v>136</v>
      </c>
      <c r="G176" s="4">
        <v>61.045464000000003</v>
      </c>
      <c r="H176" s="4">
        <v>195</v>
      </c>
      <c r="I176" s="5">
        <v>3678</v>
      </c>
      <c r="J176" s="5">
        <v>127</v>
      </c>
      <c r="K176" t="s">
        <v>38</v>
      </c>
      <c r="L176" t="s">
        <v>38</v>
      </c>
      <c r="M176" t="s">
        <v>61</v>
      </c>
      <c r="N176" t="s">
        <v>61</v>
      </c>
      <c r="O176" t="s">
        <v>95</v>
      </c>
      <c r="P176" t="s">
        <v>96</v>
      </c>
      <c r="Q176" t="s">
        <v>42</v>
      </c>
      <c r="R176" t="s">
        <v>43</v>
      </c>
      <c r="S176" s="5">
        <v>1</v>
      </c>
      <c r="T176" s="5">
        <v>0</v>
      </c>
      <c r="U176" t="s">
        <v>44</v>
      </c>
      <c r="V176" t="s">
        <v>637</v>
      </c>
      <c r="W176" s="5">
        <v>91</v>
      </c>
      <c r="X176" s="4">
        <v>157.34</v>
      </c>
      <c r="Y176" s="4">
        <v>281.89999999999998</v>
      </c>
      <c r="Z176" s="4">
        <v>439.24</v>
      </c>
      <c r="AA176" s="4">
        <f t="shared" si="6"/>
        <v>16.597461663947797</v>
      </c>
      <c r="AB176" s="6">
        <f t="shared" si="7"/>
        <v>0.31305366153846154</v>
      </c>
      <c r="AC176" s="6">
        <f t="shared" si="8"/>
        <v>2.2525128205128206</v>
      </c>
    </row>
    <row r="177" spans="1:29">
      <c r="A177" t="s">
        <v>638</v>
      </c>
      <c r="B177" t="s">
        <v>639</v>
      </c>
      <c r="C177" s="3">
        <v>45093</v>
      </c>
      <c r="D177">
        <v>2023</v>
      </c>
      <c r="E177">
        <v>6</v>
      </c>
      <c r="F177" t="s">
        <v>136</v>
      </c>
      <c r="G177" s="4">
        <v>29.602429000000001</v>
      </c>
      <c r="H177" s="4">
        <v>200</v>
      </c>
      <c r="I177" s="5">
        <v>4035</v>
      </c>
      <c r="J177" s="5">
        <v>102</v>
      </c>
      <c r="K177" t="s">
        <v>48</v>
      </c>
      <c r="L177" t="s">
        <v>49</v>
      </c>
      <c r="M177" t="s">
        <v>72</v>
      </c>
      <c r="N177" t="s">
        <v>72</v>
      </c>
      <c r="O177" t="s">
        <v>107</v>
      </c>
      <c r="P177" t="s">
        <v>74</v>
      </c>
      <c r="Q177" t="s">
        <v>42</v>
      </c>
      <c r="R177" t="s">
        <v>43</v>
      </c>
      <c r="S177" s="5">
        <v>1</v>
      </c>
      <c r="T177" s="5">
        <v>0</v>
      </c>
      <c r="U177" t="s">
        <v>44</v>
      </c>
      <c r="V177" t="s">
        <v>640</v>
      </c>
      <c r="W177" s="5">
        <v>93</v>
      </c>
      <c r="X177" s="4">
        <v>154.43</v>
      </c>
      <c r="Y177" s="4">
        <v>330.4</v>
      </c>
      <c r="Z177" s="4">
        <v>484.83</v>
      </c>
      <c r="AA177" s="4">
        <f t="shared" si="6"/>
        <v>7.3364136307311032</v>
      </c>
      <c r="AB177" s="6">
        <f t="shared" si="7"/>
        <v>0.14801214500000001</v>
      </c>
      <c r="AC177" s="6">
        <f t="shared" si="8"/>
        <v>2.42415</v>
      </c>
    </row>
    <row r="178" spans="1:29">
      <c r="A178" t="s">
        <v>641</v>
      </c>
      <c r="B178" t="s">
        <v>642</v>
      </c>
      <c r="C178" s="3">
        <v>45093</v>
      </c>
      <c r="D178">
        <v>2023</v>
      </c>
      <c r="E178">
        <v>6</v>
      </c>
      <c r="F178" t="s">
        <v>136</v>
      </c>
      <c r="G178" s="4">
        <v>6.0131309999999996</v>
      </c>
      <c r="H178" s="4">
        <v>5</v>
      </c>
      <c r="I178" s="5">
        <v>1775</v>
      </c>
      <c r="J178" s="5">
        <v>96</v>
      </c>
      <c r="K178" t="s">
        <v>83</v>
      </c>
      <c r="L178" t="s">
        <v>83</v>
      </c>
      <c r="M178" t="s">
        <v>39</v>
      </c>
      <c r="N178" t="s">
        <v>39</v>
      </c>
      <c r="O178" t="s">
        <v>84</v>
      </c>
      <c r="P178" t="s">
        <v>84</v>
      </c>
      <c r="Q178" t="s">
        <v>42</v>
      </c>
      <c r="R178" t="s">
        <v>43</v>
      </c>
      <c r="S178" s="5">
        <v>1</v>
      </c>
      <c r="T178" s="5">
        <v>0</v>
      </c>
      <c r="U178" t="s">
        <v>44</v>
      </c>
      <c r="V178" t="s">
        <v>643</v>
      </c>
      <c r="W178" s="5">
        <v>85</v>
      </c>
      <c r="X178" s="4">
        <v>17.71</v>
      </c>
      <c r="Y178" s="4">
        <v>0.86</v>
      </c>
      <c r="Z178" s="4">
        <v>18.559999999999999</v>
      </c>
      <c r="AA178" s="4">
        <f t="shared" si="6"/>
        <v>3.387679436619718</v>
      </c>
      <c r="AB178" s="6">
        <f t="shared" si="7"/>
        <v>1.2026261999999999</v>
      </c>
      <c r="AC178" s="6">
        <f t="shared" si="8"/>
        <v>3.7119999999999997</v>
      </c>
    </row>
    <row r="179" spans="1:29">
      <c r="A179" t="s">
        <v>644</v>
      </c>
      <c r="B179" t="s">
        <v>645</v>
      </c>
      <c r="C179" s="3">
        <v>45093</v>
      </c>
      <c r="D179">
        <v>2023</v>
      </c>
      <c r="E179">
        <v>6</v>
      </c>
      <c r="F179" t="s">
        <v>136</v>
      </c>
      <c r="G179" s="4">
        <v>55.043678999999997</v>
      </c>
      <c r="H179" s="4">
        <v>200</v>
      </c>
      <c r="I179" s="5">
        <v>4234</v>
      </c>
      <c r="J179" s="5">
        <v>144</v>
      </c>
      <c r="K179" t="s">
        <v>38</v>
      </c>
      <c r="L179" t="s">
        <v>38</v>
      </c>
      <c r="M179" t="s">
        <v>61</v>
      </c>
      <c r="N179" t="s">
        <v>61</v>
      </c>
      <c r="O179" t="s">
        <v>140</v>
      </c>
      <c r="P179" t="s">
        <v>141</v>
      </c>
      <c r="Q179" t="s">
        <v>42</v>
      </c>
      <c r="R179" t="s">
        <v>43</v>
      </c>
      <c r="S179" s="5">
        <v>1</v>
      </c>
      <c r="T179" s="5">
        <v>0</v>
      </c>
      <c r="U179" t="s">
        <v>44</v>
      </c>
      <c r="V179" t="s">
        <v>646</v>
      </c>
      <c r="W179" s="5">
        <v>81</v>
      </c>
      <c r="X179" s="4">
        <v>108.17</v>
      </c>
      <c r="Y179" s="4">
        <v>163.30000000000001</v>
      </c>
      <c r="Z179" s="4">
        <v>271.47000000000003</v>
      </c>
      <c r="AA179" s="4">
        <f t="shared" si="6"/>
        <v>13.000396551724137</v>
      </c>
      <c r="AB179" s="6">
        <f t="shared" si="7"/>
        <v>0.275218395</v>
      </c>
      <c r="AC179" s="6">
        <f t="shared" si="8"/>
        <v>1.3573500000000001</v>
      </c>
    </row>
    <row r="180" spans="1:29">
      <c r="A180" t="s">
        <v>647</v>
      </c>
      <c r="B180" t="s">
        <v>648</v>
      </c>
      <c r="C180" s="3">
        <v>45107</v>
      </c>
      <c r="D180">
        <v>2023</v>
      </c>
      <c r="E180">
        <v>6</v>
      </c>
      <c r="F180" t="s">
        <v>136</v>
      </c>
      <c r="G180" s="4">
        <v>5.5009899999999998</v>
      </c>
      <c r="H180" s="4">
        <v>70</v>
      </c>
      <c r="I180" s="5">
        <v>3400</v>
      </c>
      <c r="J180" s="5">
        <v>91</v>
      </c>
      <c r="K180" t="s">
        <v>48</v>
      </c>
      <c r="L180" t="s">
        <v>49</v>
      </c>
      <c r="M180" t="s">
        <v>94</v>
      </c>
      <c r="N180" t="s">
        <v>94</v>
      </c>
      <c r="O180" t="s">
        <v>68</v>
      </c>
      <c r="P180" t="s">
        <v>68</v>
      </c>
      <c r="Q180" t="s">
        <v>42</v>
      </c>
      <c r="R180" t="s">
        <v>43</v>
      </c>
      <c r="S180" s="5">
        <v>1</v>
      </c>
      <c r="T180" s="5">
        <v>0</v>
      </c>
      <c r="U180" t="s">
        <v>44</v>
      </c>
      <c r="V180" t="s">
        <v>649</v>
      </c>
      <c r="W180" s="5">
        <v>81</v>
      </c>
      <c r="X180" s="4">
        <v>15.75</v>
      </c>
      <c r="Y180" s="4">
        <v>30.49</v>
      </c>
      <c r="Z180" s="4">
        <v>46.25</v>
      </c>
      <c r="AA180" s="4">
        <f t="shared" si="6"/>
        <v>1.6179382352941176</v>
      </c>
      <c r="AB180" s="6">
        <f t="shared" si="7"/>
        <v>7.8585571428571421E-2</v>
      </c>
      <c r="AC180" s="6">
        <f t="shared" si="8"/>
        <v>0.6607142857142857</v>
      </c>
    </row>
    <row r="181" spans="1:29">
      <c r="A181" t="s">
        <v>650</v>
      </c>
      <c r="B181" t="s">
        <v>651</v>
      </c>
      <c r="C181" s="3">
        <v>45114</v>
      </c>
      <c r="D181">
        <v>2023</v>
      </c>
      <c r="E181">
        <v>7</v>
      </c>
      <c r="F181" t="s">
        <v>222</v>
      </c>
      <c r="G181" s="4">
        <v>33.013036</v>
      </c>
      <c r="H181" s="4">
        <v>16</v>
      </c>
      <c r="I181" s="5">
        <v>3188</v>
      </c>
      <c r="J181" s="5">
        <v>107</v>
      </c>
      <c r="K181" t="s">
        <v>38</v>
      </c>
      <c r="L181" t="s">
        <v>38</v>
      </c>
      <c r="M181" t="s">
        <v>39</v>
      </c>
      <c r="N181" t="s">
        <v>39</v>
      </c>
      <c r="O181" t="s">
        <v>40</v>
      </c>
      <c r="P181" t="s">
        <v>41</v>
      </c>
      <c r="Q181" t="s">
        <v>652</v>
      </c>
      <c r="R181" t="s">
        <v>64</v>
      </c>
      <c r="S181" s="5">
        <v>1</v>
      </c>
      <c r="T181" s="5">
        <v>0</v>
      </c>
      <c r="U181" t="s">
        <v>44</v>
      </c>
      <c r="V181" t="s">
        <v>653</v>
      </c>
      <c r="W181" s="5">
        <v>69</v>
      </c>
      <c r="X181" s="4">
        <v>82.16</v>
      </c>
      <c r="Y181" s="4">
        <v>104.1</v>
      </c>
      <c r="Z181" s="4">
        <v>186.26</v>
      </c>
      <c r="AA181" s="4">
        <f t="shared" si="6"/>
        <v>10.355406524466749</v>
      </c>
      <c r="AB181" s="6">
        <f t="shared" si="7"/>
        <v>2.06331475</v>
      </c>
      <c r="AC181" s="6">
        <f t="shared" si="8"/>
        <v>11.641249999999999</v>
      </c>
    </row>
    <row r="182" spans="1:29">
      <c r="A182" t="s">
        <v>654</v>
      </c>
      <c r="B182" t="s">
        <v>655</v>
      </c>
      <c r="C182" s="3">
        <v>45119</v>
      </c>
      <c r="D182">
        <v>2023</v>
      </c>
      <c r="E182">
        <v>7</v>
      </c>
      <c r="F182" t="s">
        <v>222</v>
      </c>
      <c r="G182" s="4">
        <v>54.688347</v>
      </c>
      <c r="H182" s="4">
        <v>290</v>
      </c>
      <c r="I182" s="5">
        <v>4327</v>
      </c>
      <c r="J182" s="5">
        <v>163</v>
      </c>
      <c r="K182" t="s">
        <v>38</v>
      </c>
      <c r="L182" t="s">
        <v>38</v>
      </c>
      <c r="M182" t="s">
        <v>61</v>
      </c>
      <c r="N182" t="s">
        <v>61</v>
      </c>
      <c r="O182" t="s">
        <v>95</v>
      </c>
      <c r="P182" t="s">
        <v>96</v>
      </c>
      <c r="Q182" t="s">
        <v>42</v>
      </c>
      <c r="R182" t="s">
        <v>43</v>
      </c>
      <c r="S182" s="5">
        <v>1</v>
      </c>
      <c r="T182" s="5">
        <v>0</v>
      </c>
      <c r="U182" t="s">
        <v>44</v>
      </c>
      <c r="V182" t="s">
        <v>656</v>
      </c>
      <c r="W182" s="5">
        <v>94</v>
      </c>
      <c r="X182" s="4">
        <v>172.64</v>
      </c>
      <c r="Y182" s="4">
        <v>393.22</v>
      </c>
      <c r="Z182" s="4">
        <v>565.86</v>
      </c>
      <c r="AA182" s="4">
        <f t="shared" si="6"/>
        <v>12.63885994915646</v>
      </c>
      <c r="AB182" s="6">
        <f t="shared" si="7"/>
        <v>0.18858050689655173</v>
      </c>
      <c r="AC182" s="6">
        <f t="shared" si="8"/>
        <v>1.9512413793103449</v>
      </c>
    </row>
    <row r="183" spans="1:29">
      <c r="A183" t="s">
        <v>657</v>
      </c>
      <c r="B183" t="s">
        <v>658</v>
      </c>
      <c r="C183" s="3">
        <v>45128</v>
      </c>
      <c r="D183">
        <v>2023</v>
      </c>
      <c r="E183">
        <v>7</v>
      </c>
      <c r="F183" t="s">
        <v>222</v>
      </c>
      <c r="G183" s="4">
        <v>162.02204399999999</v>
      </c>
      <c r="H183" s="4">
        <v>145</v>
      </c>
      <c r="I183" s="5">
        <v>4243</v>
      </c>
      <c r="J183" s="5">
        <v>114</v>
      </c>
      <c r="K183" t="s">
        <v>38</v>
      </c>
      <c r="L183" t="s">
        <v>38</v>
      </c>
      <c r="M183" t="s">
        <v>94</v>
      </c>
      <c r="N183" t="s">
        <v>94</v>
      </c>
      <c r="O183" t="s">
        <v>140</v>
      </c>
      <c r="P183" t="s">
        <v>141</v>
      </c>
      <c r="Q183" t="s">
        <v>42</v>
      </c>
      <c r="R183" t="s">
        <v>43</v>
      </c>
      <c r="S183" s="5">
        <v>1</v>
      </c>
      <c r="T183" s="5">
        <v>0</v>
      </c>
      <c r="U183" t="s">
        <v>44</v>
      </c>
      <c r="V183" t="s">
        <v>659</v>
      </c>
      <c r="W183" s="5">
        <v>83</v>
      </c>
      <c r="X183" s="4">
        <v>636.79</v>
      </c>
      <c r="Y183" s="4">
        <v>810.8</v>
      </c>
      <c r="Z183" s="4">
        <v>1447.59</v>
      </c>
      <c r="AA183" s="4">
        <f t="shared" si="6"/>
        <v>38.185728022625497</v>
      </c>
      <c r="AB183" s="6">
        <f t="shared" si="7"/>
        <v>1.1173934068965516</v>
      </c>
      <c r="AC183" s="6">
        <f t="shared" si="8"/>
        <v>9.9833793103448265</v>
      </c>
    </row>
    <row r="184" spans="1:29">
      <c r="A184" t="s">
        <v>660</v>
      </c>
      <c r="B184" t="s">
        <v>661</v>
      </c>
      <c r="C184" s="3">
        <v>45128</v>
      </c>
      <c r="D184">
        <v>2023</v>
      </c>
      <c r="E184">
        <v>7</v>
      </c>
      <c r="F184" t="s">
        <v>222</v>
      </c>
      <c r="G184" s="4">
        <v>82.455420000000004</v>
      </c>
      <c r="H184" s="4">
        <v>100</v>
      </c>
      <c r="I184" s="5">
        <v>3610</v>
      </c>
      <c r="J184" s="5">
        <v>180</v>
      </c>
      <c r="K184" t="s">
        <v>83</v>
      </c>
      <c r="L184" t="s">
        <v>83</v>
      </c>
      <c r="M184" t="s">
        <v>50</v>
      </c>
      <c r="N184" t="s">
        <v>50</v>
      </c>
      <c r="O184" t="s">
        <v>68</v>
      </c>
      <c r="P184" t="s">
        <v>68</v>
      </c>
      <c r="Q184" t="s">
        <v>662</v>
      </c>
      <c r="R184" t="s">
        <v>64</v>
      </c>
      <c r="S184" s="5">
        <v>1</v>
      </c>
      <c r="T184" s="5">
        <v>0</v>
      </c>
      <c r="U184" t="s">
        <v>44</v>
      </c>
      <c r="V184" t="s">
        <v>663</v>
      </c>
      <c r="W184" s="5">
        <v>91</v>
      </c>
      <c r="X184" s="4">
        <v>330.08</v>
      </c>
      <c r="Y184" s="4">
        <v>645.91</v>
      </c>
      <c r="Z184" s="4">
        <v>975.98</v>
      </c>
      <c r="AA184" s="4">
        <f t="shared" si="6"/>
        <v>22.840836565096954</v>
      </c>
      <c r="AB184" s="6">
        <f t="shared" si="7"/>
        <v>0.82455420000000001</v>
      </c>
      <c r="AC184" s="6">
        <f t="shared" si="8"/>
        <v>9.7598000000000003</v>
      </c>
    </row>
    <row r="185" spans="1:29">
      <c r="A185" t="s">
        <v>664</v>
      </c>
      <c r="B185" t="s">
        <v>665</v>
      </c>
      <c r="C185" s="3">
        <v>45135</v>
      </c>
      <c r="D185">
        <v>2023</v>
      </c>
      <c r="E185">
        <v>7</v>
      </c>
      <c r="F185" t="s">
        <v>222</v>
      </c>
      <c r="G185" s="4">
        <v>24.082474999999999</v>
      </c>
      <c r="H185" s="4">
        <v>150</v>
      </c>
      <c r="I185" s="5">
        <v>3740</v>
      </c>
      <c r="J185" s="5">
        <v>123</v>
      </c>
      <c r="K185" t="s">
        <v>38</v>
      </c>
      <c r="L185" t="s">
        <v>38</v>
      </c>
      <c r="M185" t="s">
        <v>94</v>
      </c>
      <c r="N185" t="s">
        <v>94</v>
      </c>
      <c r="O185" t="s">
        <v>107</v>
      </c>
      <c r="P185" t="s">
        <v>74</v>
      </c>
      <c r="Q185" t="s">
        <v>42</v>
      </c>
      <c r="R185" t="s">
        <v>43</v>
      </c>
      <c r="S185" s="5">
        <v>1</v>
      </c>
      <c r="T185" s="5">
        <v>0</v>
      </c>
      <c r="U185" t="s">
        <v>44</v>
      </c>
      <c r="V185" t="s">
        <v>666</v>
      </c>
      <c r="W185" s="5">
        <v>84</v>
      </c>
      <c r="X185" s="4">
        <v>67.650000000000006</v>
      </c>
      <c r="Y185" s="4">
        <v>47.14</v>
      </c>
      <c r="Z185" s="4">
        <v>114.8</v>
      </c>
      <c r="AA185" s="4">
        <f t="shared" si="6"/>
        <v>6.4391644385026732</v>
      </c>
      <c r="AB185" s="6">
        <f t="shared" si="7"/>
        <v>0.16054983333333334</v>
      </c>
      <c r="AC185" s="6">
        <f t="shared" si="8"/>
        <v>0.76533333333333331</v>
      </c>
    </row>
    <row r="186" spans="1:29">
      <c r="A186" t="s">
        <v>667</v>
      </c>
      <c r="B186" t="s">
        <v>668</v>
      </c>
      <c r="C186" s="3">
        <v>45140</v>
      </c>
      <c r="D186">
        <v>2023</v>
      </c>
      <c r="E186">
        <v>8</v>
      </c>
      <c r="F186" t="s">
        <v>222</v>
      </c>
      <c r="G186" s="4">
        <v>28.007543999999999</v>
      </c>
      <c r="H186" s="4">
        <v>70</v>
      </c>
      <c r="I186" s="5">
        <v>3858</v>
      </c>
      <c r="J186" s="5">
        <v>100</v>
      </c>
      <c r="K186" t="s">
        <v>48</v>
      </c>
      <c r="L186" t="s">
        <v>49</v>
      </c>
      <c r="M186" t="s">
        <v>61</v>
      </c>
      <c r="N186" t="s">
        <v>61</v>
      </c>
      <c r="O186" t="s">
        <v>95</v>
      </c>
      <c r="P186" t="s">
        <v>96</v>
      </c>
      <c r="Q186" t="s">
        <v>42</v>
      </c>
      <c r="R186" t="s">
        <v>43</v>
      </c>
      <c r="S186" s="5">
        <v>0</v>
      </c>
      <c r="T186" s="5">
        <v>0</v>
      </c>
      <c r="U186" t="s">
        <v>44</v>
      </c>
      <c r="V186" t="s">
        <v>669</v>
      </c>
      <c r="W186" s="5">
        <v>90</v>
      </c>
      <c r="X186" s="4">
        <v>118.7</v>
      </c>
      <c r="Y186" s="4">
        <v>61.63</v>
      </c>
      <c r="Z186" s="4">
        <v>180.33</v>
      </c>
      <c r="AA186" s="4">
        <f t="shared" si="6"/>
        <v>7.2596018662519439</v>
      </c>
      <c r="AB186" s="6">
        <f t="shared" si="7"/>
        <v>0.4001077714285714</v>
      </c>
      <c r="AC186" s="6">
        <f t="shared" si="8"/>
        <v>2.5761428571428575</v>
      </c>
    </row>
    <row r="187" spans="1:29">
      <c r="A187" t="s">
        <v>670</v>
      </c>
      <c r="B187" t="s">
        <v>671</v>
      </c>
      <c r="C187" s="3">
        <v>45149</v>
      </c>
      <c r="D187">
        <v>2023</v>
      </c>
      <c r="E187">
        <v>8</v>
      </c>
      <c r="F187" t="s">
        <v>222</v>
      </c>
      <c r="G187" s="4">
        <v>6.50495</v>
      </c>
      <c r="H187" s="4">
        <v>45</v>
      </c>
      <c r="I187" s="5">
        <v>2715</v>
      </c>
      <c r="J187" s="5">
        <v>119</v>
      </c>
      <c r="K187" t="s">
        <v>83</v>
      </c>
      <c r="L187" t="s">
        <v>83</v>
      </c>
      <c r="M187" t="s">
        <v>39</v>
      </c>
      <c r="N187" t="s">
        <v>39</v>
      </c>
      <c r="O187" t="s">
        <v>68</v>
      </c>
      <c r="P187" t="s">
        <v>68</v>
      </c>
      <c r="Q187" t="s">
        <v>672</v>
      </c>
      <c r="R187" t="s">
        <v>64</v>
      </c>
      <c r="S187" s="5">
        <v>0</v>
      </c>
      <c r="T187" s="5">
        <v>0</v>
      </c>
      <c r="U187" t="s">
        <v>44</v>
      </c>
      <c r="V187" t="s">
        <v>673</v>
      </c>
      <c r="W187" s="5">
        <v>74</v>
      </c>
      <c r="X187" s="4">
        <v>13.64</v>
      </c>
      <c r="Y187" s="4">
        <v>6.76</v>
      </c>
      <c r="Z187" s="4">
        <v>20.399999999999999</v>
      </c>
      <c r="AA187" s="4">
        <f t="shared" si="6"/>
        <v>2.3959300184162062</v>
      </c>
      <c r="AB187" s="6">
        <f t="shared" si="7"/>
        <v>0.14455444444444446</v>
      </c>
      <c r="AC187" s="6">
        <f t="shared" si="8"/>
        <v>0.45333333333333331</v>
      </c>
    </row>
    <row r="188" spans="1:29">
      <c r="A188" t="s">
        <v>674</v>
      </c>
      <c r="B188" t="s">
        <v>675</v>
      </c>
      <c r="C188" s="3">
        <v>45156</v>
      </c>
      <c r="D188">
        <v>2023</v>
      </c>
      <c r="E188">
        <v>8</v>
      </c>
      <c r="F188" t="s">
        <v>222</v>
      </c>
      <c r="G188" s="4">
        <v>25.030225000000002</v>
      </c>
      <c r="H188" s="4">
        <v>120</v>
      </c>
      <c r="I188" s="5">
        <v>3871</v>
      </c>
      <c r="J188" s="5">
        <v>127</v>
      </c>
      <c r="K188" t="s">
        <v>38</v>
      </c>
      <c r="L188" t="s">
        <v>38</v>
      </c>
      <c r="M188" t="s">
        <v>61</v>
      </c>
      <c r="N188" t="s">
        <v>61</v>
      </c>
      <c r="O188" t="s">
        <v>140</v>
      </c>
      <c r="P188" t="s">
        <v>141</v>
      </c>
      <c r="Q188" t="s">
        <v>42</v>
      </c>
      <c r="R188" t="s">
        <v>43</v>
      </c>
      <c r="S188" s="5">
        <v>0</v>
      </c>
      <c r="T188" s="5">
        <v>0</v>
      </c>
      <c r="U188" t="s">
        <v>44</v>
      </c>
      <c r="V188" t="s">
        <v>676</v>
      </c>
      <c r="W188" s="5">
        <v>91</v>
      </c>
      <c r="X188" s="4">
        <v>72.540000000000006</v>
      </c>
      <c r="Y188" s="4">
        <v>58.3</v>
      </c>
      <c r="Z188" s="4">
        <v>130.84</v>
      </c>
      <c r="AA188" s="4">
        <f t="shared" si="6"/>
        <v>6.4660875742702153</v>
      </c>
      <c r="AB188" s="6">
        <f t="shared" si="7"/>
        <v>0.20858520833333336</v>
      </c>
      <c r="AC188" s="6">
        <f t="shared" si="8"/>
        <v>1.0903333333333334</v>
      </c>
    </row>
    <row r="189" spans="1:29">
      <c r="A189" t="s">
        <v>677</v>
      </c>
      <c r="B189" t="s">
        <v>678</v>
      </c>
      <c r="C189" s="3">
        <v>45156</v>
      </c>
      <c r="D189">
        <v>2023</v>
      </c>
      <c r="E189">
        <v>8</v>
      </c>
      <c r="F189" t="s">
        <v>222</v>
      </c>
      <c r="G189" s="4">
        <v>8.2478099999999994</v>
      </c>
      <c r="H189" s="4">
        <v>46</v>
      </c>
      <c r="I189" s="5">
        <v>3223</v>
      </c>
      <c r="J189" s="5">
        <v>93</v>
      </c>
      <c r="K189" t="s">
        <v>83</v>
      </c>
      <c r="L189" t="s">
        <v>83</v>
      </c>
      <c r="M189" t="s">
        <v>94</v>
      </c>
      <c r="N189" t="s">
        <v>94</v>
      </c>
      <c r="O189" t="s">
        <v>68</v>
      </c>
      <c r="P189" t="s">
        <v>68</v>
      </c>
      <c r="Q189" t="s">
        <v>42</v>
      </c>
      <c r="R189" t="s">
        <v>43</v>
      </c>
      <c r="S189" s="5">
        <v>0</v>
      </c>
      <c r="T189" s="5">
        <v>0</v>
      </c>
      <c r="U189" t="s">
        <v>44</v>
      </c>
      <c r="V189" t="s">
        <v>679</v>
      </c>
      <c r="W189" s="5">
        <v>69</v>
      </c>
      <c r="X189" s="4">
        <v>23.99</v>
      </c>
      <c r="Y189" s="4">
        <v>11.99</v>
      </c>
      <c r="Z189" s="4">
        <v>35.979999999999997</v>
      </c>
      <c r="AA189" s="4">
        <f t="shared" si="6"/>
        <v>2.5590474713000311</v>
      </c>
      <c r="AB189" s="6">
        <f t="shared" si="7"/>
        <v>0.17930021739130433</v>
      </c>
      <c r="AC189" s="6">
        <f t="shared" si="8"/>
        <v>0.78217391304347816</v>
      </c>
    </row>
    <row r="190" spans="1:29">
      <c r="A190" t="s">
        <v>680</v>
      </c>
      <c r="B190" t="s">
        <v>681</v>
      </c>
      <c r="C190" s="3">
        <v>45170</v>
      </c>
      <c r="D190">
        <v>2023</v>
      </c>
      <c r="E190">
        <v>9</v>
      </c>
      <c r="F190" t="s">
        <v>222</v>
      </c>
      <c r="G190" s="4">
        <v>34.604228999999997</v>
      </c>
      <c r="H190" s="4">
        <v>70</v>
      </c>
      <c r="I190" s="5">
        <v>3965</v>
      </c>
      <c r="J190" s="5">
        <v>103</v>
      </c>
      <c r="K190" t="s">
        <v>83</v>
      </c>
      <c r="L190" t="s">
        <v>83</v>
      </c>
      <c r="M190" t="s">
        <v>61</v>
      </c>
      <c r="N190" t="s">
        <v>61</v>
      </c>
      <c r="O190" t="s">
        <v>40</v>
      </c>
      <c r="P190" t="s">
        <v>41</v>
      </c>
      <c r="Q190" t="s">
        <v>42</v>
      </c>
      <c r="R190" t="s">
        <v>43</v>
      </c>
      <c r="S190" s="5">
        <v>0</v>
      </c>
      <c r="T190" s="5">
        <v>0</v>
      </c>
      <c r="U190" t="s">
        <v>44</v>
      </c>
      <c r="V190" t="s">
        <v>682</v>
      </c>
      <c r="W190" s="5">
        <v>94</v>
      </c>
      <c r="X190" s="4">
        <v>92.37</v>
      </c>
      <c r="Y190" s="4">
        <v>98.69</v>
      </c>
      <c r="Z190" s="4">
        <v>191.07</v>
      </c>
      <c r="AA190" s="4">
        <f t="shared" si="6"/>
        <v>8.727422194199244</v>
      </c>
      <c r="AB190" s="6">
        <f t="shared" si="7"/>
        <v>0.49434612857142851</v>
      </c>
      <c r="AC190" s="6">
        <f t="shared" si="8"/>
        <v>2.7295714285714285</v>
      </c>
    </row>
    <row r="191" spans="1:29">
      <c r="A191" t="s">
        <v>683</v>
      </c>
      <c r="B191" t="s">
        <v>684</v>
      </c>
      <c r="C191" s="3">
        <v>45177</v>
      </c>
      <c r="D191">
        <v>2023</v>
      </c>
      <c r="E191">
        <v>9</v>
      </c>
      <c r="F191" t="s">
        <v>222</v>
      </c>
      <c r="G191" s="4">
        <v>32.603335999999999</v>
      </c>
      <c r="H191" s="4">
        <v>38</v>
      </c>
      <c r="I191" s="5">
        <v>3728</v>
      </c>
      <c r="J191" s="5"/>
      <c r="K191" t="s">
        <v>83</v>
      </c>
      <c r="L191" t="s">
        <v>83</v>
      </c>
      <c r="M191" t="s">
        <v>39</v>
      </c>
      <c r="N191" t="s">
        <v>39</v>
      </c>
      <c r="O191" t="s">
        <v>140</v>
      </c>
      <c r="P191" t="s">
        <v>141</v>
      </c>
      <c r="Q191" t="s">
        <v>42</v>
      </c>
      <c r="R191" t="s">
        <v>43</v>
      </c>
      <c r="S191" s="5">
        <v>0</v>
      </c>
      <c r="T191" s="5">
        <v>0</v>
      </c>
      <c r="U191" t="s">
        <v>44</v>
      </c>
      <c r="V191" t="s">
        <v>685</v>
      </c>
      <c r="W191" s="5">
        <v>72</v>
      </c>
      <c r="X191" s="4">
        <v>86.27</v>
      </c>
      <c r="Y191" s="4">
        <v>183.4</v>
      </c>
      <c r="Z191" s="4">
        <v>269.67</v>
      </c>
      <c r="AA191" s="4">
        <f t="shared" si="6"/>
        <v>8.745530042918455</v>
      </c>
      <c r="AB191" s="6">
        <f t="shared" si="7"/>
        <v>0.85798252631578942</v>
      </c>
      <c r="AC191" s="6">
        <f t="shared" si="8"/>
        <v>7.0965789473684211</v>
      </c>
    </row>
    <row r="192" spans="1:29">
      <c r="A192" t="s">
        <v>686</v>
      </c>
      <c r="B192" t="s">
        <v>687</v>
      </c>
      <c r="C192" s="3">
        <v>45184</v>
      </c>
      <c r="D192">
        <v>2023</v>
      </c>
      <c r="E192">
        <v>9</v>
      </c>
      <c r="F192" t="s">
        <v>222</v>
      </c>
      <c r="G192" s="4">
        <v>14.279529</v>
      </c>
      <c r="H192" s="4">
        <v>60</v>
      </c>
      <c r="I192" s="5">
        <v>3305</v>
      </c>
      <c r="J192" s="5">
        <v>103</v>
      </c>
      <c r="K192" t="s">
        <v>38</v>
      </c>
      <c r="L192" t="s">
        <v>38</v>
      </c>
      <c r="M192" t="s">
        <v>54</v>
      </c>
      <c r="N192" t="s">
        <v>54</v>
      </c>
      <c r="O192" t="s">
        <v>413</v>
      </c>
      <c r="P192" t="s">
        <v>74</v>
      </c>
      <c r="Q192" t="s">
        <v>42</v>
      </c>
      <c r="R192" t="s">
        <v>43</v>
      </c>
      <c r="S192" s="5">
        <v>0</v>
      </c>
      <c r="T192" s="5">
        <v>0</v>
      </c>
      <c r="U192" t="s">
        <v>44</v>
      </c>
      <c r="V192" t="s">
        <v>688</v>
      </c>
      <c r="W192" s="5">
        <v>76</v>
      </c>
      <c r="X192" s="4">
        <v>42.47</v>
      </c>
      <c r="Y192" s="4">
        <v>71.319999999999993</v>
      </c>
      <c r="Z192" s="4">
        <v>113.79</v>
      </c>
      <c r="AA192" s="4">
        <f t="shared" si="6"/>
        <v>4.3205836611195156</v>
      </c>
      <c r="AB192" s="6">
        <f t="shared" si="7"/>
        <v>0.23799215000000001</v>
      </c>
      <c r="AC192" s="6">
        <f t="shared" si="8"/>
        <v>1.8965000000000001</v>
      </c>
    </row>
    <row r="193" spans="1:29">
      <c r="A193" t="s">
        <v>689</v>
      </c>
      <c r="B193" t="s">
        <v>690</v>
      </c>
      <c r="C193" s="3">
        <v>45191</v>
      </c>
      <c r="D193">
        <v>2023</v>
      </c>
      <c r="E193">
        <v>9</v>
      </c>
      <c r="F193" t="s">
        <v>222</v>
      </c>
      <c r="G193" s="4">
        <v>8.039021</v>
      </c>
      <c r="H193" s="4">
        <v>100</v>
      </c>
      <c r="I193" s="5">
        <v>3518</v>
      </c>
      <c r="J193" s="5">
        <v>104</v>
      </c>
      <c r="K193" t="s">
        <v>83</v>
      </c>
      <c r="L193" t="s">
        <v>83</v>
      </c>
      <c r="M193" t="s">
        <v>61</v>
      </c>
      <c r="N193" t="s">
        <v>61</v>
      </c>
      <c r="O193" t="s">
        <v>84</v>
      </c>
      <c r="P193" t="s">
        <v>84</v>
      </c>
      <c r="Q193" t="s">
        <v>42</v>
      </c>
      <c r="R193" t="s">
        <v>43</v>
      </c>
      <c r="S193" s="5">
        <v>0</v>
      </c>
      <c r="T193" s="5">
        <v>0</v>
      </c>
      <c r="U193" t="s">
        <v>44</v>
      </c>
      <c r="V193" t="s">
        <v>691</v>
      </c>
      <c r="W193" s="5">
        <v>70</v>
      </c>
      <c r="X193" s="4">
        <v>16.71</v>
      </c>
      <c r="Y193" s="4">
        <v>34.42</v>
      </c>
      <c r="Z193" s="4">
        <v>51.13</v>
      </c>
      <c r="AA193" s="4">
        <f t="shared" si="6"/>
        <v>2.285111142694713</v>
      </c>
      <c r="AB193" s="6">
        <f t="shared" si="7"/>
        <v>8.0390210000000004E-2</v>
      </c>
      <c r="AC193" s="6">
        <f t="shared" si="8"/>
        <v>0.51129999999999998</v>
      </c>
    </row>
    <row r="194" spans="1:29">
      <c r="A194" t="s">
        <v>692</v>
      </c>
      <c r="B194" t="s">
        <v>693</v>
      </c>
      <c r="C194" s="3">
        <v>45198</v>
      </c>
      <c r="D194">
        <v>2023</v>
      </c>
      <c r="E194">
        <v>9</v>
      </c>
      <c r="F194" t="s">
        <v>222</v>
      </c>
      <c r="G194" s="4">
        <v>22.764354000000001</v>
      </c>
      <c r="H194" s="4">
        <v>30</v>
      </c>
      <c r="I194" s="5">
        <v>3989</v>
      </c>
      <c r="J194" s="5">
        <v>87</v>
      </c>
      <c r="K194" t="s">
        <v>48</v>
      </c>
      <c r="L194" t="s">
        <v>49</v>
      </c>
      <c r="M194" t="s">
        <v>72</v>
      </c>
      <c r="N194" t="s">
        <v>72</v>
      </c>
      <c r="O194" t="s">
        <v>95</v>
      </c>
      <c r="P194" t="s">
        <v>96</v>
      </c>
      <c r="Q194" t="s">
        <v>248</v>
      </c>
      <c r="R194" t="s">
        <v>64</v>
      </c>
      <c r="S194" s="5">
        <v>0</v>
      </c>
      <c r="T194" s="5">
        <v>0</v>
      </c>
      <c r="U194" t="s">
        <v>44</v>
      </c>
      <c r="V194" t="s">
        <v>694</v>
      </c>
      <c r="W194" s="5">
        <v>93</v>
      </c>
      <c r="X194" s="4">
        <v>65.34</v>
      </c>
      <c r="Y194" s="4">
        <v>136.4</v>
      </c>
      <c r="Z194" s="4">
        <v>201.74</v>
      </c>
      <c r="AA194" s="4">
        <f t="shared" ref="AA194:AA257" si="9">IFERROR(G194*1000/I194,"")</f>
        <v>5.7067821509150161</v>
      </c>
      <c r="AB194" s="6">
        <f t="shared" ref="AB194:AB257" si="10">IFERROR(G194/H194,"")</f>
        <v>0.75881180000000004</v>
      </c>
      <c r="AC194" s="6">
        <f t="shared" ref="AC194:AC257" si="11">IF(Z194="","",Z194/H194)</f>
        <v>6.7246666666666668</v>
      </c>
    </row>
    <row r="195" spans="1:29">
      <c r="A195" t="s">
        <v>695</v>
      </c>
      <c r="B195" t="s">
        <v>696</v>
      </c>
      <c r="C195" s="3">
        <v>45198</v>
      </c>
      <c r="D195">
        <v>2023</v>
      </c>
      <c r="E195">
        <v>9</v>
      </c>
      <c r="F195" t="s">
        <v>222</v>
      </c>
      <c r="G195" s="4">
        <v>18.309301000000001</v>
      </c>
      <c r="H195" s="4">
        <v>13</v>
      </c>
      <c r="I195" s="5">
        <v>3262</v>
      </c>
      <c r="J195" s="5">
        <v>118</v>
      </c>
      <c r="K195" t="s">
        <v>83</v>
      </c>
      <c r="L195" t="s">
        <v>83</v>
      </c>
      <c r="M195" t="s">
        <v>39</v>
      </c>
      <c r="N195" t="s">
        <v>39</v>
      </c>
      <c r="O195" t="s">
        <v>84</v>
      </c>
      <c r="P195" t="s">
        <v>84</v>
      </c>
      <c r="Q195" t="s">
        <v>42</v>
      </c>
      <c r="R195" t="s">
        <v>43</v>
      </c>
      <c r="S195" s="5">
        <v>0</v>
      </c>
      <c r="T195" s="5">
        <v>0</v>
      </c>
      <c r="U195" t="s">
        <v>44</v>
      </c>
      <c r="V195" t="s">
        <v>697</v>
      </c>
      <c r="W195" s="5">
        <v>88</v>
      </c>
      <c r="X195" s="4">
        <v>53.61</v>
      </c>
      <c r="Y195" s="4">
        <v>71.709999999999994</v>
      </c>
      <c r="Z195" s="4">
        <v>125.32</v>
      </c>
      <c r="AA195" s="4">
        <f t="shared" si="9"/>
        <v>5.6129064990803199</v>
      </c>
      <c r="AB195" s="6">
        <f t="shared" si="10"/>
        <v>1.4084077692307693</v>
      </c>
      <c r="AC195" s="6">
        <f t="shared" si="11"/>
        <v>9.6399999999999988</v>
      </c>
    </row>
    <row r="196" spans="1:29">
      <c r="A196" t="s">
        <v>698</v>
      </c>
      <c r="B196" t="s">
        <v>699</v>
      </c>
      <c r="C196" s="3">
        <v>45198</v>
      </c>
      <c r="D196">
        <v>2023</v>
      </c>
      <c r="E196">
        <v>9</v>
      </c>
      <c r="F196" t="s">
        <v>222</v>
      </c>
      <c r="G196" s="4">
        <v>14.079511999999999</v>
      </c>
      <c r="H196" s="4">
        <v>80</v>
      </c>
      <c r="I196" s="5">
        <v>3680</v>
      </c>
      <c r="J196" s="5">
        <v>133</v>
      </c>
      <c r="K196" t="s">
        <v>38</v>
      </c>
      <c r="L196" t="s">
        <v>38</v>
      </c>
      <c r="M196" t="s">
        <v>54</v>
      </c>
      <c r="N196" t="s">
        <v>54</v>
      </c>
      <c r="O196" t="s">
        <v>413</v>
      </c>
      <c r="P196" t="s">
        <v>74</v>
      </c>
      <c r="Q196" t="s">
        <v>42</v>
      </c>
      <c r="R196" t="s">
        <v>43</v>
      </c>
      <c r="S196" s="5">
        <v>0</v>
      </c>
      <c r="T196" s="5">
        <v>0</v>
      </c>
      <c r="U196" t="s">
        <v>44</v>
      </c>
      <c r="V196" t="s">
        <v>700</v>
      </c>
      <c r="W196" s="5">
        <v>76</v>
      </c>
      <c r="X196" s="4">
        <v>40.770000000000003</v>
      </c>
      <c r="Y196" s="4">
        <v>63.5</v>
      </c>
      <c r="Z196" s="4">
        <v>104.27</v>
      </c>
      <c r="AA196" s="4">
        <f t="shared" si="9"/>
        <v>3.8259543478260865</v>
      </c>
      <c r="AB196" s="6">
        <f t="shared" si="10"/>
        <v>0.17599389999999998</v>
      </c>
      <c r="AC196" s="6">
        <f t="shared" si="11"/>
        <v>1.303375</v>
      </c>
    </row>
    <row r="197" spans="1:29">
      <c r="A197" t="s">
        <v>701</v>
      </c>
      <c r="B197" t="s">
        <v>702</v>
      </c>
      <c r="C197" s="3">
        <v>45205</v>
      </c>
      <c r="D197">
        <v>2023</v>
      </c>
      <c r="E197">
        <v>10</v>
      </c>
      <c r="F197" t="s">
        <v>302</v>
      </c>
      <c r="G197" s="4">
        <v>26.497599999999998</v>
      </c>
      <c r="H197" s="4">
        <v>30</v>
      </c>
      <c r="I197" s="5">
        <v>3663</v>
      </c>
      <c r="J197" s="5">
        <v>111</v>
      </c>
      <c r="K197" t="s">
        <v>83</v>
      </c>
      <c r="L197" t="s">
        <v>83</v>
      </c>
      <c r="M197" t="s">
        <v>39</v>
      </c>
      <c r="N197" t="s">
        <v>39</v>
      </c>
      <c r="O197" t="s">
        <v>68</v>
      </c>
      <c r="P197" t="s">
        <v>68</v>
      </c>
      <c r="Q197" t="s">
        <v>42</v>
      </c>
      <c r="R197" t="s">
        <v>43</v>
      </c>
      <c r="S197" s="5">
        <v>0</v>
      </c>
      <c r="T197" s="5">
        <v>0</v>
      </c>
      <c r="U197" t="s">
        <v>44</v>
      </c>
      <c r="V197" t="s">
        <v>703</v>
      </c>
      <c r="W197" s="5">
        <v>58</v>
      </c>
      <c r="X197" s="4">
        <v>65.540000000000006</v>
      </c>
      <c r="Y197" s="4">
        <v>71.459999999999994</v>
      </c>
      <c r="Z197" s="4">
        <v>137</v>
      </c>
      <c r="AA197" s="4">
        <f t="shared" si="9"/>
        <v>7.2338520338520338</v>
      </c>
      <c r="AB197" s="6">
        <f t="shared" si="10"/>
        <v>0.88325333333333333</v>
      </c>
      <c r="AC197" s="6">
        <f t="shared" si="11"/>
        <v>4.5666666666666664</v>
      </c>
    </row>
    <row r="198" spans="1:29">
      <c r="A198" t="s">
        <v>704</v>
      </c>
      <c r="B198" t="s">
        <v>705</v>
      </c>
      <c r="C198" s="3">
        <v>45212</v>
      </c>
      <c r="D198">
        <v>2023</v>
      </c>
      <c r="E198">
        <v>10</v>
      </c>
      <c r="F198" t="s">
        <v>302</v>
      </c>
      <c r="G198" s="4">
        <v>93.224755000000002</v>
      </c>
      <c r="H198" s="4">
        <v>15</v>
      </c>
      <c r="I198" s="5">
        <v>3855</v>
      </c>
      <c r="J198" s="5">
        <v>168</v>
      </c>
      <c r="K198" t="s">
        <v>38</v>
      </c>
      <c r="L198" t="s">
        <v>38</v>
      </c>
      <c r="M198" t="s">
        <v>706</v>
      </c>
      <c r="N198" t="s">
        <v>56</v>
      </c>
      <c r="O198" t="s">
        <v>707</v>
      </c>
      <c r="P198" t="s">
        <v>56</v>
      </c>
      <c r="Q198" t="s">
        <v>42</v>
      </c>
      <c r="R198" t="s">
        <v>43</v>
      </c>
      <c r="S198" s="5">
        <v>0</v>
      </c>
      <c r="T198" s="5">
        <v>0</v>
      </c>
      <c r="U198" t="s">
        <v>44</v>
      </c>
      <c r="V198" t="s">
        <v>708</v>
      </c>
      <c r="W198" s="5">
        <v>98</v>
      </c>
      <c r="X198" s="4">
        <v>180.76</v>
      </c>
      <c r="Y198" s="4">
        <v>80.650000000000006</v>
      </c>
      <c r="Z198" s="4">
        <v>261.41000000000003</v>
      </c>
      <c r="AA198" s="4">
        <f t="shared" si="9"/>
        <v>24.182815823605708</v>
      </c>
      <c r="AB198" s="6">
        <f t="shared" si="10"/>
        <v>6.2149836666666669</v>
      </c>
      <c r="AC198" s="6">
        <f t="shared" si="11"/>
        <v>17.427333333333333</v>
      </c>
    </row>
    <row r="199" spans="1:29">
      <c r="A199" t="s">
        <v>709</v>
      </c>
      <c r="B199" t="s">
        <v>710</v>
      </c>
      <c r="C199" s="3">
        <v>45226</v>
      </c>
      <c r="D199">
        <v>2023</v>
      </c>
      <c r="E199">
        <v>10</v>
      </c>
      <c r="F199" t="s">
        <v>302</v>
      </c>
      <c r="G199" s="4">
        <v>80.001720000000006</v>
      </c>
      <c r="H199" s="4">
        <v>20</v>
      </c>
      <c r="I199" s="5">
        <v>3675</v>
      </c>
      <c r="J199" s="5">
        <v>109</v>
      </c>
      <c r="K199" t="s">
        <v>38</v>
      </c>
      <c r="L199" t="s">
        <v>38</v>
      </c>
      <c r="M199" t="s">
        <v>39</v>
      </c>
      <c r="N199" t="s">
        <v>39</v>
      </c>
      <c r="O199" t="s">
        <v>68</v>
      </c>
      <c r="P199" t="s">
        <v>68</v>
      </c>
      <c r="Q199" t="s">
        <v>42</v>
      </c>
      <c r="R199" t="s">
        <v>43</v>
      </c>
      <c r="S199" s="5">
        <v>0</v>
      </c>
      <c r="T199" s="5">
        <v>0</v>
      </c>
      <c r="U199" t="s">
        <v>44</v>
      </c>
      <c r="V199" t="s">
        <v>711</v>
      </c>
      <c r="W199" s="5">
        <v>86</v>
      </c>
      <c r="X199" s="4">
        <v>137.28</v>
      </c>
      <c r="Y199" s="4">
        <v>159.87</v>
      </c>
      <c r="Z199" s="4">
        <v>297.14</v>
      </c>
      <c r="AA199" s="4">
        <f t="shared" si="9"/>
        <v>21.769175510204082</v>
      </c>
      <c r="AB199" s="6">
        <f t="shared" si="10"/>
        <v>4.0000860000000005</v>
      </c>
      <c r="AC199" s="6">
        <f t="shared" si="11"/>
        <v>14.856999999999999</v>
      </c>
    </row>
    <row r="200" spans="1:29">
      <c r="A200" t="s">
        <v>712</v>
      </c>
      <c r="B200" t="s">
        <v>713</v>
      </c>
      <c r="C200" s="3">
        <v>45240</v>
      </c>
      <c r="D200">
        <v>2023</v>
      </c>
      <c r="E200">
        <v>11</v>
      </c>
      <c r="F200" t="s">
        <v>302</v>
      </c>
      <c r="G200" s="4">
        <v>2.4004460000000001</v>
      </c>
      <c r="H200" s="4">
        <v>6</v>
      </c>
      <c r="I200" s="5">
        <v>2002</v>
      </c>
      <c r="J200" s="5">
        <v>98</v>
      </c>
      <c r="K200" t="s">
        <v>48</v>
      </c>
      <c r="L200" t="s">
        <v>49</v>
      </c>
      <c r="M200" t="s">
        <v>362</v>
      </c>
      <c r="N200" t="s">
        <v>56</v>
      </c>
      <c r="O200" t="s">
        <v>40</v>
      </c>
      <c r="P200" t="s">
        <v>41</v>
      </c>
      <c r="Q200" t="s">
        <v>42</v>
      </c>
      <c r="R200" t="s">
        <v>43</v>
      </c>
      <c r="S200" s="5">
        <v>0</v>
      </c>
      <c r="T200" s="5">
        <v>1</v>
      </c>
      <c r="U200" t="s">
        <v>44</v>
      </c>
      <c r="V200" t="s">
        <v>714</v>
      </c>
      <c r="W200" s="5">
        <v>93</v>
      </c>
      <c r="X200" s="4">
        <v>6.82</v>
      </c>
      <c r="Y200" s="4">
        <v>1.08</v>
      </c>
      <c r="Z200" s="4">
        <v>7.91</v>
      </c>
      <c r="AA200" s="4">
        <f t="shared" si="9"/>
        <v>1.199023976023976</v>
      </c>
      <c r="AB200" s="6">
        <f t="shared" si="10"/>
        <v>0.40007433333333337</v>
      </c>
      <c r="AC200" s="6">
        <f t="shared" si="11"/>
        <v>1.3183333333333334</v>
      </c>
    </row>
    <row r="201" spans="1:29">
      <c r="A201" t="s">
        <v>715</v>
      </c>
      <c r="B201" t="s">
        <v>716</v>
      </c>
      <c r="C201" s="3">
        <v>45247</v>
      </c>
      <c r="D201">
        <v>2023</v>
      </c>
      <c r="E201">
        <v>11</v>
      </c>
      <c r="F201" t="s">
        <v>302</v>
      </c>
      <c r="G201" s="4">
        <v>10.306272</v>
      </c>
      <c r="H201" s="4">
        <v>15</v>
      </c>
      <c r="I201" s="5">
        <v>3204</v>
      </c>
      <c r="J201" s="5">
        <v>106</v>
      </c>
      <c r="K201" t="s">
        <v>83</v>
      </c>
      <c r="L201" t="s">
        <v>83</v>
      </c>
      <c r="M201" t="s">
        <v>39</v>
      </c>
      <c r="N201" t="s">
        <v>39</v>
      </c>
      <c r="O201" t="s">
        <v>40</v>
      </c>
      <c r="P201" t="s">
        <v>41</v>
      </c>
      <c r="Q201" t="s">
        <v>42</v>
      </c>
      <c r="R201" t="s">
        <v>43</v>
      </c>
      <c r="S201" s="5">
        <v>0</v>
      </c>
      <c r="T201" s="5">
        <v>1</v>
      </c>
      <c r="U201" t="s">
        <v>44</v>
      </c>
      <c r="V201" t="s">
        <v>717</v>
      </c>
      <c r="W201" s="5">
        <v>78</v>
      </c>
      <c r="X201" s="4">
        <v>31.95</v>
      </c>
      <c r="Y201" s="4">
        <v>14.1</v>
      </c>
      <c r="Z201" s="4">
        <v>46.04</v>
      </c>
      <c r="AA201" s="4">
        <f t="shared" si="9"/>
        <v>3.2166891385767786</v>
      </c>
      <c r="AB201" s="6">
        <f t="shared" si="10"/>
        <v>0.68708479999999994</v>
      </c>
      <c r="AC201" s="6">
        <f t="shared" si="11"/>
        <v>3.0693333333333332</v>
      </c>
    </row>
    <row r="202" spans="1:29">
      <c r="A202" t="s">
        <v>718</v>
      </c>
      <c r="B202" t="s">
        <v>719</v>
      </c>
      <c r="C202" s="3">
        <v>45247</v>
      </c>
      <c r="D202">
        <v>2023</v>
      </c>
      <c r="E202">
        <v>11</v>
      </c>
      <c r="F202" t="s">
        <v>302</v>
      </c>
      <c r="G202" s="4">
        <v>44.607143000000001</v>
      </c>
      <c r="H202" s="4">
        <v>100</v>
      </c>
      <c r="I202" s="5">
        <v>3776</v>
      </c>
      <c r="J202" s="5">
        <v>157</v>
      </c>
      <c r="K202" t="s">
        <v>38</v>
      </c>
      <c r="L202" t="s">
        <v>38</v>
      </c>
      <c r="M202" t="s">
        <v>61</v>
      </c>
      <c r="N202" t="s">
        <v>61</v>
      </c>
      <c r="O202" t="s">
        <v>84</v>
      </c>
      <c r="P202" t="s">
        <v>84</v>
      </c>
      <c r="Q202" t="s">
        <v>42</v>
      </c>
      <c r="R202" t="s">
        <v>43</v>
      </c>
      <c r="S202" s="5">
        <v>0</v>
      </c>
      <c r="T202" s="5">
        <v>1</v>
      </c>
      <c r="U202" t="s">
        <v>44</v>
      </c>
      <c r="V202" t="s">
        <v>720</v>
      </c>
      <c r="W202" s="5">
        <v>89</v>
      </c>
      <c r="X202" s="4">
        <v>166.35</v>
      </c>
      <c r="Y202" s="4">
        <v>182.7</v>
      </c>
      <c r="Z202" s="4">
        <v>349.05</v>
      </c>
      <c r="AA202" s="4">
        <f t="shared" si="9"/>
        <v>11.813332362288136</v>
      </c>
      <c r="AB202" s="6">
        <f t="shared" si="10"/>
        <v>0.44607142999999999</v>
      </c>
      <c r="AC202" s="6">
        <f t="shared" si="11"/>
        <v>3.4904999999999999</v>
      </c>
    </row>
    <row r="203" spans="1:29">
      <c r="A203" t="s">
        <v>721</v>
      </c>
      <c r="B203" t="s">
        <v>722</v>
      </c>
      <c r="C203" s="3">
        <v>45247</v>
      </c>
      <c r="D203">
        <v>2023</v>
      </c>
      <c r="E203">
        <v>11</v>
      </c>
      <c r="F203" t="s">
        <v>302</v>
      </c>
      <c r="G203" s="4">
        <v>30.002524999999999</v>
      </c>
      <c r="H203" s="4">
        <v>95</v>
      </c>
      <c r="I203" s="5">
        <v>3870</v>
      </c>
      <c r="J203" s="5">
        <v>92</v>
      </c>
      <c r="K203" t="s">
        <v>48</v>
      </c>
      <c r="L203" t="s">
        <v>49</v>
      </c>
      <c r="M203" t="s">
        <v>72</v>
      </c>
      <c r="N203" t="s">
        <v>72</v>
      </c>
      <c r="O203" t="s">
        <v>68</v>
      </c>
      <c r="P203" t="s">
        <v>68</v>
      </c>
      <c r="Q203" t="s">
        <v>42</v>
      </c>
      <c r="R203" t="s">
        <v>43</v>
      </c>
      <c r="S203" s="5">
        <v>0</v>
      </c>
      <c r="T203" s="5">
        <v>1</v>
      </c>
      <c r="U203" t="s">
        <v>44</v>
      </c>
      <c r="V203" t="s">
        <v>723</v>
      </c>
      <c r="W203" s="5">
        <v>92</v>
      </c>
      <c r="X203" s="4">
        <v>103.97</v>
      </c>
      <c r="Y203" s="4">
        <v>106.68</v>
      </c>
      <c r="Z203" s="4">
        <v>210.65</v>
      </c>
      <c r="AA203" s="4">
        <f t="shared" si="9"/>
        <v>7.7525904392764851</v>
      </c>
      <c r="AB203" s="6">
        <f t="shared" si="10"/>
        <v>0.31581605263157891</v>
      </c>
      <c r="AC203" s="6">
        <f t="shared" si="11"/>
        <v>2.2173684210526314</v>
      </c>
    </row>
    <row r="204" spans="1:29">
      <c r="A204" t="s">
        <v>724</v>
      </c>
      <c r="B204" t="s">
        <v>725</v>
      </c>
      <c r="C204" s="3">
        <v>45252</v>
      </c>
      <c r="D204">
        <v>2023</v>
      </c>
      <c r="E204">
        <v>11</v>
      </c>
      <c r="F204" t="s">
        <v>302</v>
      </c>
      <c r="G204" s="4">
        <v>20.638887</v>
      </c>
      <c r="H204" s="4">
        <v>200</v>
      </c>
      <c r="I204" s="5">
        <v>3500</v>
      </c>
      <c r="J204" s="5">
        <v>158</v>
      </c>
      <c r="K204" t="s">
        <v>83</v>
      </c>
      <c r="L204" t="s">
        <v>83</v>
      </c>
      <c r="M204" t="s">
        <v>50</v>
      </c>
      <c r="N204" t="s">
        <v>50</v>
      </c>
      <c r="O204" t="s">
        <v>40</v>
      </c>
      <c r="P204" t="s">
        <v>41</v>
      </c>
      <c r="Q204" t="s">
        <v>199</v>
      </c>
      <c r="R204" t="s">
        <v>64</v>
      </c>
      <c r="S204" s="5">
        <v>0</v>
      </c>
      <c r="T204" s="5">
        <v>1</v>
      </c>
      <c r="U204" t="s">
        <v>44</v>
      </c>
      <c r="V204" t="s">
        <v>726</v>
      </c>
      <c r="W204" s="5">
        <v>58</v>
      </c>
      <c r="X204" s="4">
        <v>61.52</v>
      </c>
      <c r="Y204" s="4">
        <v>156.38999999999999</v>
      </c>
      <c r="Z204" s="4">
        <v>217.92</v>
      </c>
      <c r="AA204" s="4">
        <f t="shared" si="9"/>
        <v>5.8968248571428568</v>
      </c>
      <c r="AB204" s="6">
        <f t="shared" si="10"/>
        <v>0.103194435</v>
      </c>
      <c r="AC204" s="6">
        <f t="shared" si="11"/>
        <v>1.0895999999999999</v>
      </c>
    </row>
    <row r="205" spans="1:29">
      <c r="A205" t="s">
        <v>727</v>
      </c>
      <c r="B205" t="s">
        <v>728</v>
      </c>
      <c r="C205" s="3">
        <v>45252</v>
      </c>
      <c r="D205">
        <v>2023</v>
      </c>
      <c r="E205">
        <v>11</v>
      </c>
      <c r="F205" t="s">
        <v>302</v>
      </c>
      <c r="G205" s="4">
        <v>19.698228</v>
      </c>
      <c r="H205" s="4">
        <v>200</v>
      </c>
      <c r="I205" s="5">
        <v>3900</v>
      </c>
      <c r="J205" s="5">
        <v>92</v>
      </c>
      <c r="K205" t="s">
        <v>48</v>
      </c>
      <c r="L205" t="s">
        <v>49</v>
      </c>
      <c r="M205" t="s">
        <v>72</v>
      </c>
      <c r="N205" t="s">
        <v>72</v>
      </c>
      <c r="O205" t="s">
        <v>107</v>
      </c>
      <c r="P205" t="s">
        <v>74</v>
      </c>
      <c r="Q205" t="s">
        <v>42</v>
      </c>
      <c r="R205" t="s">
        <v>43</v>
      </c>
      <c r="S205" s="5">
        <v>0</v>
      </c>
      <c r="T205" s="5">
        <v>1</v>
      </c>
      <c r="U205" t="s">
        <v>44</v>
      </c>
      <c r="V205" t="s">
        <v>729</v>
      </c>
      <c r="W205" s="5">
        <v>80</v>
      </c>
      <c r="X205" s="4">
        <v>63.97</v>
      </c>
      <c r="Y205" s="4">
        <v>173.98</v>
      </c>
      <c r="Z205" s="4">
        <v>237.95</v>
      </c>
      <c r="AA205" s="4">
        <f t="shared" si="9"/>
        <v>5.050827692307692</v>
      </c>
      <c r="AB205" s="6">
        <f t="shared" si="10"/>
        <v>9.8491140000000005E-2</v>
      </c>
      <c r="AC205" s="6">
        <f t="shared" si="11"/>
        <v>1.1897499999999999</v>
      </c>
    </row>
    <row r="206" spans="1:29">
      <c r="A206" t="s">
        <v>730</v>
      </c>
      <c r="B206" t="s">
        <v>731</v>
      </c>
      <c r="C206" s="3">
        <v>45261</v>
      </c>
      <c r="D206">
        <v>2023</v>
      </c>
      <c r="E206">
        <v>12</v>
      </c>
      <c r="F206" t="s">
        <v>302</v>
      </c>
      <c r="G206" s="4">
        <v>11.419975000000001</v>
      </c>
      <c r="H206" s="4">
        <v>15</v>
      </c>
      <c r="I206" s="5">
        <v>2308</v>
      </c>
      <c r="J206" s="5">
        <v>125</v>
      </c>
      <c r="K206" t="s">
        <v>38</v>
      </c>
      <c r="L206" t="s">
        <v>38</v>
      </c>
      <c r="M206" t="s">
        <v>61</v>
      </c>
      <c r="N206" t="s">
        <v>61</v>
      </c>
      <c r="O206" t="s">
        <v>732</v>
      </c>
      <c r="P206" t="s">
        <v>56</v>
      </c>
      <c r="Q206" t="s">
        <v>63</v>
      </c>
      <c r="R206" t="s">
        <v>64</v>
      </c>
      <c r="S206" s="5">
        <v>0</v>
      </c>
      <c r="T206" s="5">
        <v>1</v>
      </c>
      <c r="U206" t="s">
        <v>57</v>
      </c>
      <c r="V206" t="s">
        <v>733</v>
      </c>
      <c r="W206" s="5"/>
      <c r="X206" s="4"/>
      <c r="Y206" s="4"/>
      <c r="Z206" s="4"/>
      <c r="AA206" s="4">
        <f t="shared" si="9"/>
        <v>4.9479961005199309</v>
      </c>
      <c r="AB206" s="6">
        <f t="shared" si="10"/>
        <v>0.76133166666666674</v>
      </c>
      <c r="AC206" s="6" t="str">
        <f t="shared" si="11"/>
        <v/>
      </c>
    </row>
    <row r="207" spans="1:29">
      <c r="A207" t="s">
        <v>734</v>
      </c>
      <c r="B207" t="s">
        <v>735</v>
      </c>
      <c r="C207" s="3">
        <v>45275</v>
      </c>
      <c r="D207">
        <v>2023</v>
      </c>
      <c r="E207">
        <v>12</v>
      </c>
      <c r="F207" t="s">
        <v>302</v>
      </c>
      <c r="G207" s="4">
        <v>39.005800000000001</v>
      </c>
      <c r="H207" s="4">
        <v>125</v>
      </c>
      <c r="I207" s="5">
        <v>4203</v>
      </c>
      <c r="J207" s="5">
        <v>116</v>
      </c>
      <c r="K207" t="s">
        <v>48</v>
      </c>
      <c r="L207" t="s">
        <v>49</v>
      </c>
      <c r="M207" t="s">
        <v>362</v>
      </c>
      <c r="N207" t="s">
        <v>56</v>
      </c>
      <c r="O207" t="s">
        <v>140</v>
      </c>
      <c r="P207" t="s">
        <v>141</v>
      </c>
      <c r="Q207" t="s">
        <v>662</v>
      </c>
      <c r="R207" t="s">
        <v>64</v>
      </c>
      <c r="S207" s="5">
        <v>0</v>
      </c>
      <c r="T207" s="5">
        <v>1</v>
      </c>
      <c r="U207" t="s">
        <v>44</v>
      </c>
      <c r="V207" t="s">
        <v>736</v>
      </c>
      <c r="W207" s="5">
        <v>90</v>
      </c>
      <c r="X207" s="4">
        <v>218.58</v>
      </c>
      <c r="Y207" s="4">
        <v>414.99</v>
      </c>
      <c r="Z207" s="4">
        <v>633.58000000000004</v>
      </c>
      <c r="AA207" s="4">
        <f t="shared" si="9"/>
        <v>9.2804663335712601</v>
      </c>
      <c r="AB207" s="6">
        <f t="shared" si="10"/>
        <v>0.3120464</v>
      </c>
      <c r="AC207" s="6">
        <f t="shared" si="11"/>
        <v>5.0686400000000003</v>
      </c>
    </row>
    <row r="208" spans="1:29">
      <c r="A208" t="s">
        <v>737</v>
      </c>
      <c r="B208" t="s">
        <v>738</v>
      </c>
      <c r="C208" s="3">
        <v>45282</v>
      </c>
      <c r="D208">
        <v>2023</v>
      </c>
      <c r="E208">
        <v>12</v>
      </c>
      <c r="F208" t="s">
        <v>302</v>
      </c>
      <c r="G208" s="4">
        <v>6.0003440000000001</v>
      </c>
      <c r="H208" s="4">
        <v>25</v>
      </c>
      <c r="I208" s="5">
        <v>3055</v>
      </c>
      <c r="J208" s="5">
        <v>103</v>
      </c>
      <c r="K208" t="s">
        <v>83</v>
      </c>
      <c r="L208" t="s">
        <v>83</v>
      </c>
      <c r="M208" t="s">
        <v>93</v>
      </c>
      <c r="N208" t="s">
        <v>94</v>
      </c>
      <c r="O208" t="s">
        <v>40</v>
      </c>
      <c r="P208" t="s">
        <v>41</v>
      </c>
      <c r="Q208" t="s">
        <v>42</v>
      </c>
      <c r="R208" t="s">
        <v>43</v>
      </c>
      <c r="S208" s="5">
        <v>0</v>
      </c>
      <c r="T208" s="5">
        <v>1</v>
      </c>
      <c r="U208" t="s">
        <v>44</v>
      </c>
      <c r="V208" t="s">
        <v>739</v>
      </c>
      <c r="W208" s="5">
        <v>87</v>
      </c>
      <c r="X208" s="4">
        <v>88.32</v>
      </c>
      <c r="Y208" s="4">
        <v>130.59</v>
      </c>
      <c r="Z208" s="4">
        <v>218.91</v>
      </c>
      <c r="AA208" s="4">
        <f t="shared" si="9"/>
        <v>1.9641060556464811</v>
      </c>
      <c r="AB208" s="6">
        <f t="shared" si="10"/>
        <v>0.24001375999999999</v>
      </c>
      <c r="AC208" s="6">
        <f t="shared" si="11"/>
        <v>8.7563999999999993</v>
      </c>
    </row>
    <row r="209" spans="1:29">
      <c r="A209" t="s">
        <v>740</v>
      </c>
      <c r="B209" t="s">
        <v>741</v>
      </c>
      <c r="C209" s="3">
        <v>45282</v>
      </c>
      <c r="D209">
        <v>2023</v>
      </c>
      <c r="E209">
        <v>12</v>
      </c>
      <c r="F209" t="s">
        <v>302</v>
      </c>
      <c r="G209" s="4">
        <v>27.686211</v>
      </c>
      <c r="H209" s="4">
        <v>205</v>
      </c>
      <c r="I209" s="5">
        <v>3706</v>
      </c>
      <c r="J209" s="5">
        <v>124</v>
      </c>
      <c r="K209" t="s">
        <v>38</v>
      </c>
      <c r="L209" t="s">
        <v>38</v>
      </c>
      <c r="M209" t="s">
        <v>61</v>
      </c>
      <c r="N209" t="s">
        <v>61</v>
      </c>
      <c r="O209" t="s">
        <v>140</v>
      </c>
      <c r="P209" t="s">
        <v>141</v>
      </c>
      <c r="Q209" t="s">
        <v>42</v>
      </c>
      <c r="R209" t="s">
        <v>43</v>
      </c>
      <c r="S209" s="5">
        <v>0</v>
      </c>
      <c r="T209" s="5">
        <v>1</v>
      </c>
      <c r="U209" t="s">
        <v>44</v>
      </c>
      <c r="V209" t="s">
        <v>742</v>
      </c>
      <c r="W209" s="5">
        <v>79</v>
      </c>
      <c r="X209" s="4">
        <v>124.48</v>
      </c>
      <c r="Y209" s="4">
        <v>314.89999999999998</v>
      </c>
      <c r="Z209" s="4">
        <v>439.38</v>
      </c>
      <c r="AA209" s="4">
        <f t="shared" si="9"/>
        <v>7.4706451699946035</v>
      </c>
      <c r="AB209" s="6">
        <f t="shared" si="10"/>
        <v>0.13505468780487806</v>
      </c>
      <c r="AC209" s="6">
        <f t="shared" si="11"/>
        <v>2.1433170731707318</v>
      </c>
    </row>
    <row r="210" spans="1:29">
      <c r="A210" t="s">
        <v>743</v>
      </c>
      <c r="B210" t="s">
        <v>744</v>
      </c>
      <c r="C210" s="3">
        <v>45282</v>
      </c>
      <c r="D210">
        <v>2023</v>
      </c>
      <c r="E210">
        <v>12</v>
      </c>
      <c r="F210" t="s">
        <v>302</v>
      </c>
      <c r="G210" s="4">
        <v>12.453275</v>
      </c>
      <c r="H210" s="4">
        <v>72</v>
      </c>
      <c r="I210" s="5">
        <v>3761</v>
      </c>
      <c r="J210" s="5"/>
      <c r="K210" t="s">
        <v>48</v>
      </c>
      <c r="L210" t="s">
        <v>49</v>
      </c>
      <c r="M210" t="s">
        <v>72</v>
      </c>
      <c r="N210" t="s">
        <v>72</v>
      </c>
      <c r="O210" t="s">
        <v>68</v>
      </c>
      <c r="P210" t="s">
        <v>68</v>
      </c>
      <c r="Q210" t="s">
        <v>42</v>
      </c>
      <c r="R210" t="s">
        <v>43</v>
      </c>
      <c r="S210" s="5">
        <v>0</v>
      </c>
      <c r="T210" s="5">
        <v>1</v>
      </c>
      <c r="U210" t="s">
        <v>44</v>
      </c>
      <c r="V210" t="s">
        <v>745</v>
      </c>
      <c r="W210" s="5">
        <v>88</v>
      </c>
      <c r="X210" s="4">
        <v>127.63</v>
      </c>
      <c r="Y210" s="4">
        <v>172.62</v>
      </c>
      <c r="Z210" s="4">
        <v>300.25</v>
      </c>
      <c r="AA210" s="4">
        <f t="shared" si="9"/>
        <v>3.31116059558628</v>
      </c>
      <c r="AB210" s="6">
        <f t="shared" si="10"/>
        <v>0.17296215277777777</v>
      </c>
      <c r="AC210" s="6">
        <f t="shared" si="11"/>
        <v>4.1701388888888893</v>
      </c>
    </row>
    <row r="211" spans="1:29">
      <c r="A211" t="s">
        <v>746</v>
      </c>
      <c r="B211" t="s">
        <v>747</v>
      </c>
      <c r="C211" s="3">
        <v>45282</v>
      </c>
      <c r="D211">
        <v>2023</v>
      </c>
      <c r="E211">
        <v>12</v>
      </c>
      <c r="F211" t="s">
        <v>302</v>
      </c>
      <c r="G211" s="4">
        <v>4.8683699999999996</v>
      </c>
      <c r="H211" s="4">
        <v>15.9</v>
      </c>
      <c r="I211" s="5">
        <v>2774</v>
      </c>
      <c r="J211" s="5">
        <v>132</v>
      </c>
      <c r="K211" t="s">
        <v>83</v>
      </c>
      <c r="L211" t="s">
        <v>83</v>
      </c>
      <c r="M211" t="s">
        <v>50</v>
      </c>
      <c r="N211" t="s">
        <v>50</v>
      </c>
      <c r="O211" t="s">
        <v>226</v>
      </c>
      <c r="P211" t="s">
        <v>56</v>
      </c>
      <c r="Q211" t="s">
        <v>199</v>
      </c>
      <c r="R211" t="s">
        <v>64</v>
      </c>
      <c r="S211" s="5">
        <v>0</v>
      </c>
      <c r="T211" s="5">
        <v>1</v>
      </c>
      <c r="U211" t="s">
        <v>44</v>
      </c>
      <c r="V211" t="s">
        <v>748</v>
      </c>
      <c r="W211" s="5">
        <v>94</v>
      </c>
      <c r="X211" s="4">
        <v>35.61</v>
      </c>
      <c r="Y211" s="4">
        <v>10.130000000000001</v>
      </c>
      <c r="Z211" s="4">
        <v>45.75</v>
      </c>
      <c r="AA211" s="4">
        <f t="shared" si="9"/>
        <v>1.7549999999999999</v>
      </c>
      <c r="AB211" s="6">
        <f t="shared" si="10"/>
        <v>0.30618679245283015</v>
      </c>
      <c r="AC211" s="6">
        <f t="shared" si="11"/>
        <v>2.8773584905660377</v>
      </c>
    </row>
    <row r="212" spans="1:29">
      <c r="A212" t="s">
        <v>749</v>
      </c>
      <c r="B212" t="s">
        <v>750</v>
      </c>
      <c r="C212" s="3">
        <v>45285</v>
      </c>
      <c r="D212">
        <v>2023</v>
      </c>
      <c r="E212">
        <v>12</v>
      </c>
      <c r="F212" t="s">
        <v>302</v>
      </c>
      <c r="G212" s="4">
        <v>3.921773</v>
      </c>
      <c r="H212" s="4">
        <v>95</v>
      </c>
      <c r="I212" s="5">
        <v>2386</v>
      </c>
      <c r="J212" s="5">
        <v>124</v>
      </c>
      <c r="K212" t="s">
        <v>83</v>
      </c>
      <c r="L212" t="s">
        <v>83</v>
      </c>
      <c r="M212" t="s">
        <v>50</v>
      </c>
      <c r="N212" t="s">
        <v>50</v>
      </c>
      <c r="O212" t="s">
        <v>128</v>
      </c>
      <c r="P212" t="s">
        <v>56</v>
      </c>
      <c r="Q212" t="s">
        <v>42</v>
      </c>
      <c r="R212" t="s">
        <v>43</v>
      </c>
      <c r="S212" s="5">
        <v>0</v>
      </c>
      <c r="T212" s="5">
        <v>1</v>
      </c>
      <c r="U212" t="s">
        <v>44</v>
      </c>
      <c r="V212" t="s">
        <v>751</v>
      </c>
      <c r="W212" s="5">
        <v>73</v>
      </c>
      <c r="X212" s="4">
        <v>18.55</v>
      </c>
      <c r="Y212" s="4">
        <v>22.44</v>
      </c>
      <c r="Z212" s="4">
        <v>40.99</v>
      </c>
      <c r="AA212" s="4">
        <f t="shared" si="9"/>
        <v>1.6436601005867562</v>
      </c>
      <c r="AB212" s="6">
        <f t="shared" si="10"/>
        <v>4.1281821052631576E-2</v>
      </c>
      <c r="AC212" s="6">
        <f t="shared" si="11"/>
        <v>0.43147368421052634</v>
      </c>
    </row>
    <row r="213" spans="1:29">
      <c r="A213" t="s">
        <v>752</v>
      </c>
      <c r="B213" t="s">
        <v>753</v>
      </c>
      <c r="C213" s="3">
        <v>45285</v>
      </c>
      <c r="D213">
        <v>2023</v>
      </c>
      <c r="E213">
        <v>12</v>
      </c>
      <c r="F213" t="s">
        <v>302</v>
      </c>
      <c r="G213" s="4">
        <v>8.4005480000000006</v>
      </c>
      <c r="H213" s="4">
        <v>40</v>
      </c>
      <c r="I213" s="5">
        <v>2557</v>
      </c>
      <c r="J213" s="5">
        <v>124</v>
      </c>
      <c r="K213" t="s">
        <v>38</v>
      </c>
      <c r="L213" t="s">
        <v>38</v>
      </c>
      <c r="M213" t="s">
        <v>50</v>
      </c>
      <c r="N213" t="s">
        <v>50</v>
      </c>
      <c r="O213" t="s">
        <v>754</v>
      </c>
      <c r="P213" t="s">
        <v>56</v>
      </c>
      <c r="Q213" t="s">
        <v>42</v>
      </c>
      <c r="R213" t="s">
        <v>43</v>
      </c>
      <c r="S213" s="5">
        <v>0</v>
      </c>
      <c r="T213" s="5">
        <v>1</v>
      </c>
      <c r="U213" t="s">
        <v>44</v>
      </c>
      <c r="V213" t="s">
        <v>755</v>
      </c>
      <c r="W213" s="5">
        <v>96</v>
      </c>
      <c r="X213" s="4">
        <v>52.64</v>
      </c>
      <c r="Y213" s="4">
        <v>2.88</v>
      </c>
      <c r="Z213" s="4">
        <v>55.52</v>
      </c>
      <c r="AA213" s="4">
        <f t="shared" si="9"/>
        <v>3.2853140398904968</v>
      </c>
      <c r="AB213" s="6">
        <f t="shared" si="10"/>
        <v>0.21001370000000003</v>
      </c>
      <c r="AC213" s="6">
        <f t="shared" si="11"/>
        <v>1.3880000000000001</v>
      </c>
    </row>
    <row r="214" spans="1:29">
      <c r="A214" t="s">
        <v>756</v>
      </c>
      <c r="B214" t="s">
        <v>757</v>
      </c>
      <c r="C214" s="3">
        <v>45296</v>
      </c>
      <c r="D214">
        <v>2024</v>
      </c>
      <c r="E214">
        <v>1</v>
      </c>
      <c r="F214" t="s">
        <v>37</v>
      </c>
      <c r="G214" s="4">
        <v>11.797155</v>
      </c>
      <c r="H214" s="4">
        <v>15</v>
      </c>
      <c r="I214" s="5">
        <v>3250</v>
      </c>
      <c r="J214" s="5">
        <v>98</v>
      </c>
      <c r="K214" t="s">
        <v>38</v>
      </c>
      <c r="L214" t="s">
        <v>38</v>
      </c>
      <c r="M214" t="s">
        <v>39</v>
      </c>
      <c r="N214" t="s">
        <v>39</v>
      </c>
      <c r="O214" t="s">
        <v>68</v>
      </c>
      <c r="P214" t="s">
        <v>68</v>
      </c>
      <c r="Q214" t="s">
        <v>42</v>
      </c>
      <c r="R214" t="s">
        <v>43</v>
      </c>
      <c r="S214" s="5">
        <v>0</v>
      </c>
      <c r="T214" s="5">
        <v>0</v>
      </c>
      <c r="U214" t="s">
        <v>57</v>
      </c>
      <c r="V214" t="s">
        <v>758</v>
      </c>
      <c r="W214" s="5"/>
      <c r="X214" s="4"/>
      <c r="Y214" s="4"/>
      <c r="Z214" s="4"/>
      <c r="AA214" s="4">
        <f t="shared" si="9"/>
        <v>3.6298938461538461</v>
      </c>
      <c r="AB214" s="6">
        <f t="shared" si="10"/>
        <v>0.78647699999999998</v>
      </c>
      <c r="AC214" s="6" t="str">
        <f t="shared" si="11"/>
        <v/>
      </c>
    </row>
    <row r="215" spans="1:29">
      <c r="A215" t="s">
        <v>759</v>
      </c>
      <c r="B215" t="s">
        <v>760</v>
      </c>
      <c r="C215" s="3">
        <v>45303</v>
      </c>
      <c r="D215">
        <v>2024</v>
      </c>
      <c r="E215">
        <v>1</v>
      </c>
      <c r="F215" t="s">
        <v>37</v>
      </c>
      <c r="G215" s="4">
        <v>28.635307000000001</v>
      </c>
      <c r="H215" s="4">
        <v>36</v>
      </c>
      <c r="I215" s="5">
        <v>3791</v>
      </c>
      <c r="J215" s="5">
        <v>112</v>
      </c>
      <c r="K215" t="s">
        <v>38</v>
      </c>
      <c r="L215" t="s">
        <v>38</v>
      </c>
      <c r="M215" t="s">
        <v>362</v>
      </c>
      <c r="N215" t="s">
        <v>56</v>
      </c>
      <c r="O215" t="s">
        <v>95</v>
      </c>
      <c r="P215" t="s">
        <v>96</v>
      </c>
      <c r="Q215" t="s">
        <v>42</v>
      </c>
      <c r="R215" t="s">
        <v>43</v>
      </c>
      <c r="S215" s="5">
        <v>0</v>
      </c>
      <c r="T215" s="5">
        <v>0</v>
      </c>
      <c r="U215" t="s">
        <v>57</v>
      </c>
      <c r="V215" t="s">
        <v>761</v>
      </c>
      <c r="W215" s="5"/>
      <c r="X215" s="4"/>
      <c r="Y215" s="4"/>
      <c r="Z215" s="4"/>
      <c r="AA215" s="4">
        <f t="shared" si="9"/>
        <v>7.5534969664996048</v>
      </c>
      <c r="AB215" s="6">
        <f t="shared" si="10"/>
        <v>0.79542519444444448</v>
      </c>
      <c r="AC215" s="6" t="str">
        <f t="shared" si="11"/>
        <v/>
      </c>
    </row>
    <row r="216" spans="1:29">
      <c r="A216" t="s">
        <v>762</v>
      </c>
      <c r="B216" t="s">
        <v>763</v>
      </c>
      <c r="C216" s="3">
        <v>45324</v>
      </c>
      <c r="D216">
        <v>2024</v>
      </c>
      <c r="E216">
        <v>2</v>
      </c>
      <c r="F216" t="s">
        <v>37</v>
      </c>
      <c r="G216" s="4">
        <v>17.47354</v>
      </c>
      <c r="H216" s="4">
        <v>200</v>
      </c>
      <c r="I216" s="5">
        <v>3605</v>
      </c>
      <c r="J216" s="5">
        <v>135</v>
      </c>
      <c r="K216" t="s">
        <v>38</v>
      </c>
      <c r="L216" t="s">
        <v>38</v>
      </c>
      <c r="M216" t="s">
        <v>61</v>
      </c>
      <c r="N216" t="s">
        <v>61</v>
      </c>
      <c r="O216" t="s">
        <v>68</v>
      </c>
      <c r="P216" t="s">
        <v>68</v>
      </c>
      <c r="Q216" t="s">
        <v>199</v>
      </c>
      <c r="R216" t="s">
        <v>64</v>
      </c>
      <c r="S216" s="5">
        <v>0</v>
      </c>
      <c r="T216" s="5">
        <v>0</v>
      </c>
      <c r="U216" t="s">
        <v>57</v>
      </c>
      <c r="V216" t="s">
        <v>764</v>
      </c>
      <c r="W216" s="5"/>
      <c r="X216" s="4"/>
      <c r="Y216" s="4"/>
      <c r="Z216" s="4"/>
      <c r="AA216" s="4">
        <f t="shared" si="9"/>
        <v>4.8470291262135925</v>
      </c>
      <c r="AB216" s="6">
        <f t="shared" si="10"/>
        <v>8.7367699999999993E-2</v>
      </c>
      <c r="AC216" s="6" t="str">
        <f t="shared" si="11"/>
        <v/>
      </c>
    </row>
    <row r="217" spans="1:29">
      <c r="A217" t="s">
        <v>765</v>
      </c>
      <c r="B217" t="s">
        <v>766</v>
      </c>
      <c r="C217" s="3">
        <v>45336</v>
      </c>
      <c r="D217">
        <v>2024</v>
      </c>
      <c r="E217">
        <v>2</v>
      </c>
      <c r="F217" t="s">
        <v>37</v>
      </c>
      <c r="G217" s="4">
        <v>28.659003999999999</v>
      </c>
      <c r="H217" s="4">
        <v>70</v>
      </c>
      <c r="I217" s="5">
        <v>3539</v>
      </c>
      <c r="J217" s="5">
        <v>104</v>
      </c>
      <c r="K217" t="s">
        <v>38</v>
      </c>
      <c r="L217" t="s">
        <v>38</v>
      </c>
      <c r="M217" t="s">
        <v>50</v>
      </c>
      <c r="N217" t="s">
        <v>50</v>
      </c>
      <c r="O217" t="s">
        <v>95</v>
      </c>
      <c r="P217" t="s">
        <v>96</v>
      </c>
      <c r="Q217" t="s">
        <v>42</v>
      </c>
      <c r="R217" t="s">
        <v>43</v>
      </c>
      <c r="S217" s="5">
        <v>0</v>
      </c>
      <c r="T217" s="5">
        <v>0</v>
      </c>
      <c r="U217" t="s">
        <v>57</v>
      </c>
      <c r="V217" t="s">
        <v>767</v>
      </c>
      <c r="W217" s="5"/>
      <c r="X217" s="4"/>
      <c r="Y217" s="4"/>
      <c r="Z217" s="4"/>
      <c r="AA217" s="4">
        <f t="shared" si="9"/>
        <v>8.0980514269567685</v>
      </c>
      <c r="AB217" s="6">
        <f t="shared" si="10"/>
        <v>0.40941434285714284</v>
      </c>
      <c r="AC217" s="6" t="str">
        <f t="shared" si="11"/>
        <v/>
      </c>
    </row>
    <row r="218" spans="1:29">
      <c r="A218" t="s">
        <v>768</v>
      </c>
      <c r="B218" t="s">
        <v>769</v>
      </c>
      <c r="C218" s="3">
        <v>45336</v>
      </c>
      <c r="D218">
        <v>2024</v>
      </c>
      <c r="E218">
        <v>2</v>
      </c>
      <c r="F218" t="s">
        <v>37</v>
      </c>
      <c r="G218" s="4">
        <v>15.33586</v>
      </c>
      <c r="H218" s="4">
        <v>80</v>
      </c>
      <c r="I218" s="5">
        <v>4013</v>
      </c>
      <c r="J218" s="5">
        <v>116</v>
      </c>
      <c r="K218" t="s">
        <v>38</v>
      </c>
      <c r="L218" t="s">
        <v>38</v>
      </c>
      <c r="M218" t="s">
        <v>61</v>
      </c>
      <c r="N218" t="s">
        <v>61</v>
      </c>
      <c r="O218" t="s">
        <v>40</v>
      </c>
      <c r="P218" t="s">
        <v>41</v>
      </c>
      <c r="Q218" t="s">
        <v>42</v>
      </c>
      <c r="R218" t="s">
        <v>43</v>
      </c>
      <c r="S218" s="5">
        <v>0</v>
      </c>
      <c r="T218" s="5">
        <v>0</v>
      </c>
      <c r="U218" t="s">
        <v>57</v>
      </c>
      <c r="V218" t="s">
        <v>770</v>
      </c>
      <c r="W218" s="5"/>
      <c r="X218" s="4"/>
      <c r="Y218" s="4"/>
      <c r="Z218" s="4"/>
      <c r="AA218" s="4">
        <f t="shared" si="9"/>
        <v>3.8215449788188387</v>
      </c>
      <c r="AB218" s="6">
        <f t="shared" si="10"/>
        <v>0.19169825000000001</v>
      </c>
      <c r="AC218" s="6" t="str">
        <f t="shared" si="11"/>
        <v/>
      </c>
    </row>
    <row r="219" spans="1:29">
      <c r="A219" t="s">
        <v>771</v>
      </c>
      <c r="B219" t="s">
        <v>772</v>
      </c>
      <c r="C219" s="3">
        <v>45345</v>
      </c>
      <c r="D219">
        <v>2024</v>
      </c>
      <c r="E219">
        <v>2</v>
      </c>
      <c r="F219" t="s">
        <v>37</v>
      </c>
      <c r="G219" s="4">
        <v>6.1635999999999997</v>
      </c>
      <c r="H219" s="4">
        <v>13</v>
      </c>
      <c r="I219" s="5">
        <v>3020</v>
      </c>
      <c r="J219" s="5">
        <v>116</v>
      </c>
      <c r="K219" t="s">
        <v>48</v>
      </c>
      <c r="L219" t="s">
        <v>49</v>
      </c>
      <c r="M219" t="s">
        <v>50</v>
      </c>
      <c r="N219" t="s">
        <v>50</v>
      </c>
      <c r="O219" t="s">
        <v>84</v>
      </c>
      <c r="P219" t="s">
        <v>84</v>
      </c>
      <c r="Q219" t="s">
        <v>42</v>
      </c>
      <c r="R219" t="s">
        <v>43</v>
      </c>
      <c r="S219" s="5">
        <v>0</v>
      </c>
      <c r="T219" s="5">
        <v>0</v>
      </c>
      <c r="U219" t="s">
        <v>57</v>
      </c>
      <c r="V219" t="s">
        <v>773</v>
      </c>
      <c r="W219" s="5"/>
      <c r="X219" s="4"/>
      <c r="Y219" s="4"/>
      <c r="Z219" s="4"/>
      <c r="AA219" s="4">
        <f t="shared" si="9"/>
        <v>2.0409271523178805</v>
      </c>
      <c r="AB219" s="6">
        <f t="shared" si="10"/>
        <v>0.47412307692307692</v>
      </c>
      <c r="AC219" s="6" t="str">
        <f t="shared" si="11"/>
        <v/>
      </c>
    </row>
    <row r="220" spans="1:29">
      <c r="A220" t="s">
        <v>774</v>
      </c>
      <c r="B220" t="s">
        <v>775</v>
      </c>
      <c r="C220" s="3">
        <v>45352</v>
      </c>
      <c r="D220">
        <v>2024</v>
      </c>
      <c r="E220">
        <v>3</v>
      </c>
      <c r="F220" t="s">
        <v>37</v>
      </c>
      <c r="G220" s="4">
        <v>82.505391000000003</v>
      </c>
      <c r="H220" s="4">
        <v>190</v>
      </c>
      <c r="I220" s="5">
        <v>4071</v>
      </c>
      <c r="J220" s="5">
        <v>165</v>
      </c>
      <c r="K220" t="s">
        <v>38</v>
      </c>
      <c r="L220" t="s">
        <v>38</v>
      </c>
      <c r="M220" t="s">
        <v>61</v>
      </c>
      <c r="N220" t="s">
        <v>61</v>
      </c>
      <c r="O220" t="s">
        <v>140</v>
      </c>
      <c r="P220" t="s">
        <v>141</v>
      </c>
      <c r="Q220" t="s">
        <v>42</v>
      </c>
      <c r="R220" t="s">
        <v>43</v>
      </c>
      <c r="S220" s="5">
        <v>0</v>
      </c>
      <c r="T220" s="5">
        <v>0</v>
      </c>
      <c r="U220" t="s">
        <v>57</v>
      </c>
      <c r="V220" t="s">
        <v>776</v>
      </c>
      <c r="W220" s="5"/>
      <c r="X220" s="4"/>
      <c r="Y220" s="4"/>
      <c r="Z220" s="4"/>
      <c r="AA220" s="4">
        <f t="shared" si="9"/>
        <v>20.266615327929255</v>
      </c>
      <c r="AB220" s="6">
        <f t="shared" si="10"/>
        <v>0.43423890000000004</v>
      </c>
      <c r="AC220" s="6" t="str">
        <f t="shared" si="11"/>
        <v/>
      </c>
    </row>
    <row r="221" spans="1:29">
      <c r="A221" t="s">
        <v>777</v>
      </c>
      <c r="B221" t="s">
        <v>778</v>
      </c>
      <c r="C221" s="3">
        <v>45359</v>
      </c>
      <c r="D221">
        <v>2024</v>
      </c>
      <c r="E221">
        <v>3</v>
      </c>
      <c r="F221" t="s">
        <v>37</v>
      </c>
      <c r="G221" s="4">
        <v>7.16852</v>
      </c>
      <c r="H221" s="4">
        <v>50</v>
      </c>
      <c r="I221" s="5">
        <v>2840</v>
      </c>
      <c r="J221" s="5">
        <v>142</v>
      </c>
      <c r="K221" t="s">
        <v>38</v>
      </c>
      <c r="L221" t="s">
        <v>38</v>
      </c>
      <c r="M221" t="s">
        <v>50</v>
      </c>
      <c r="N221" t="s">
        <v>50</v>
      </c>
      <c r="O221" t="s">
        <v>595</v>
      </c>
      <c r="P221" t="s">
        <v>56</v>
      </c>
      <c r="Q221" t="s">
        <v>42</v>
      </c>
      <c r="R221" t="s">
        <v>43</v>
      </c>
      <c r="S221" s="5">
        <v>0</v>
      </c>
      <c r="T221" s="5">
        <v>0</v>
      </c>
      <c r="U221" t="s">
        <v>57</v>
      </c>
      <c r="V221" t="s">
        <v>779</v>
      </c>
      <c r="W221" s="5"/>
      <c r="X221" s="4"/>
      <c r="Y221" s="4"/>
      <c r="Z221" s="4"/>
      <c r="AA221" s="4">
        <f t="shared" si="9"/>
        <v>2.5241267605633806</v>
      </c>
      <c r="AB221" s="6">
        <f t="shared" si="10"/>
        <v>0.14337040000000001</v>
      </c>
      <c r="AC221" s="6" t="str">
        <f t="shared" si="11"/>
        <v/>
      </c>
    </row>
    <row r="222" spans="1:29">
      <c r="A222" t="s">
        <v>780</v>
      </c>
      <c r="B222" t="s">
        <v>781</v>
      </c>
      <c r="C222" s="3">
        <v>45359</v>
      </c>
      <c r="D222">
        <v>2024</v>
      </c>
      <c r="E222">
        <v>3</v>
      </c>
      <c r="F222" t="s">
        <v>37</v>
      </c>
      <c r="G222" s="4">
        <v>9.9127130000000001</v>
      </c>
      <c r="H222" s="4">
        <v>13</v>
      </c>
      <c r="I222" s="5">
        <v>3118</v>
      </c>
      <c r="J222" s="5">
        <v>104</v>
      </c>
      <c r="K222" t="s">
        <v>38</v>
      </c>
      <c r="L222" t="s">
        <v>38</v>
      </c>
      <c r="M222" t="s">
        <v>39</v>
      </c>
      <c r="N222" t="s">
        <v>39</v>
      </c>
      <c r="O222" t="s">
        <v>84</v>
      </c>
      <c r="P222" t="s">
        <v>84</v>
      </c>
      <c r="Q222" t="s">
        <v>42</v>
      </c>
      <c r="R222" t="s">
        <v>43</v>
      </c>
      <c r="S222" s="5">
        <v>0</v>
      </c>
      <c r="T222" s="5">
        <v>0</v>
      </c>
      <c r="U222" t="s">
        <v>57</v>
      </c>
      <c r="V222" t="s">
        <v>782</v>
      </c>
      <c r="W222" s="5"/>
      <c r="X222" s="4"/>
      <c r="Y222" s="4"/>
      <c r="Z222" s="4"/>
      <c r="AA222" s="4">
        <f t="shared" si="9"/>
        <v>3.1791895445798586</v>
      </c>
      <c r="AB222" s="6">
        <f t="shared" si="10"/>
        <v>0.76251638461538462</v>
      </c>
      <c r="AC222" s="6" t="str">
        <f t="shared" si="11"/>
        <v/>
      </c>
    </row>
    <row r="223" spans="1:29">
      <c r="A223" t="s">
        <v>783</v>
      </c>
      <c r="B223" t="s">
        <v>784</v>
      </c>
      <c r="C223" s="3">
        <v>45359</v>
      </c>
      <c r="D223">
        <v>2024</v>
      </c>
      <c r="E223">
        <v>3</v>
      </c>
      <c r="F223" t="s">
        <v>37</v>
      </c>
      <c r="G223" s="4">
        <v>57.989905</v>
      </c>
      <c r="H223" s="4">
        <v>85</v>
      </c>
      <c r="I223" s="5">
        <v>4035</v>
      </c>
      <c r="J223" s="5">
        <v>94</v>
      </c>
      <c r="K223" t="s">
        <v>48</v>
      </c>
      <c r="L223" t="s">
        <v>49</v>
      </c>
      <c r="M223" t="s">
        <v>94</v>
      </c>
      <c r="N223" t="s">
        <v>94</v>
      </c>
      <c r="O223" t="s">
        <v>68</v>
      </c>
      <c r="P223" t="s">
        <v>68</v>
      </c>
      <c r="Q223" t="s">
        <v>42</v>
      </c>
      <c r="R223" t="s">
        <v>43</v>
      </c>
      <c r="S223" s="5">
        <v>0</v>
      </c>
      <c r="T223" s="5">
        <v>0</v>
      </c>
      <c r="U223" t="s">
        <v>57</v>
      </c>
      <c r="V223" t="s">
        <v>785</v>
      </c>
      <c r="W223" s="5"/>
      <c r="X223" s="4"/>
      <c r="Y223" s="4"/>
      <c r="Z223" s="4"/>
      <c r="AA223" s="4">
        <f t="shared" si="9"/>
        <v>14.371723667905824</v>
      </c>
      <c r="AB223" s="6">
        <f t="shared" si="10"/>
        <v>0.68223417647058826</v>
      </c>
      <c r="AC223" s="6" t="str">
        <f t="shared" si="11"/>
        <v/>
      </c>
    </row>
    <row r="224" spans="1:29">
      <c r="A224" t="s">
        <v>786</v>
      </c>
      <c r="B224" t="s">
        <v>787</v>
      </c>
      <c r="C224" s="3">
        <v>45366</v>
      </c>
      <c r="D224">
        <v>2024</v>
      </c>
      <c r="E224">
        <v>3</v>
      </c>
      <c r="F224" t="s">
        <v>37</v>
      </c>
      <c r="G224" s="4">
        <v>7.6338980000000003</v>
      </c>
      <c r="H224" s="4">
        <v>19</v>
      </c>
      <c r="I224" s="5">
        <v>3003</v>
      </c>
      <c r="J224" s="5">
        <v>107</v>
      </c>
      <c r="K224" t="s">
        <v>38</v>
      </c>
      <c r="L224" t="s">
        <v>38</v>
      </c>
      <c r="M224" t="s">
        <v>72</v>
      </c>
      <c r="N224" t="s">
        <v>72</v>
      </c>
      <c r="O224" t="s">
        <v>84</v>
      </c>
      <c r="P224" t="s">
        <v>84</v>
      </c>
      <c r="Q224" t="s">
        <v>42</v>
      </c>
      <c r="R224" t="s">
        <v>43</v>
      </c>
      <c r="S224" s="5">
        <v>0</v>
      </c>
      <c r="T224" s="5">
        <v>0</v>
      </c>
      <c r="U224" t="s">
        <v>57</v>
      </c>
      <c r="V224" t="s">
        <v>788</v>
      </c>
      <c r="W224" s="5"/>
      <c r="X224" s="4"/>
      <c r="Y224" s="4"/>
      <c r="Z224" s="4"/>
      <c r="AA224" s="4">
        <f t="shared" si="9"/>
        <v>2.5420905760905761</v>
      </c>
      <c r="AB224" s="6">
        <f t="shared" si="10"/>
        <v>0.40178410526315789</v>
      </c>
      <c r="AC224" s="6" t="str">
        <f t="shared" si="11"/>
        <v/>
      </c>
    </row>
    <row r="225" spans="1:29">
      <c r="A225" t="s">
        <v>789</v>
      </c>
      <c r="B225" t="s">
        <v>790</v>
      </c>
      <c r="C225" s="3">
        <v>45380</v>
      </c>
      <c r="D225">
        <v>2024</v>
      </c>
      <c r="E225">
        <v>3</v>
      </c>
      <c r="F225" t="s">
        <v>37</v>
      </c>
      <c r="G225" s="4">
        <v>80.006561000000005</v>
      </c>
      <c r="H225" s="4">
        <v>135</v>
      </c>
      <c r="I225" s="5">
        <v>3861</v>
      </c>
      <c r="J225" s="5">
        <v>115</v>
      </c>
      <c r="K225" t="s">
        <v>38</v>
      </c>
      <c r="L225" t="s">
        <v>38</v>
      </c>
      <c r="M225" t="s">
        <v>61</v>
      </c>
      <c r="N225" t="s">
        <v>61</v>
      </c>
      <c r="O225" t="s">
        <v>140</v>
      </c>
      <c r="P225" t="s">
        <v>141</v>
      </c>
      <c r="Q225" t="s">
        <v>42</v>
      </c>
      <c r="R225" t="s">
        <v>43</v>
      </c>
      <c r="S225" s="5">
        <v>0</v>
      </c>
      <c r="T225" s="5">
        <v>0</v>
      </c>
      <c r="U225" t="s">
        <v>57</v>
      </c>
      <c r="V225" t="s">
        <v>791</v>
      </c>
      <c r="W225" s="5"/>
      <c r="X225" s="4"/>
      <c r="Y225" s="4"/>
      <c r="Z225" s="4"/>
      <c r="AA225" s="4">
        <f t="shared" si="9"/>
        <v>20.721720020720021</v>
      </c>
      <c r="AB225" s="6">
        <f t="shared" si="10"/>
        <v>0.59264119259259262</v>
      </c>
      <c r="AC225" s="6" t="str">
        <f t="shared" si="11"/>
        <v/>
      </c>
    </row>
    <row r="226" spans="1:29">
      <c r="A226" t="s">
        <v>792</v>
      </c>
      <c r="B226" t="s">
        <v>793</v>
      </c>
      <c r="C226" s="3">
        <v>45387</v>
      </c>
      <c r="D226">
        <v>2024</v>
      </c>
      <c r="E226">
        <v>4</v>
      </c>
      <c r="F226" t="s">
        <v>136</v>
      </c>
      <c r="G226" s="4">
        <v>10.119434999999999</v>
      </c>
      <c r="H226" s="4">
        <v>10</v>
      </c>
      <c r="I226" s="5">
        <v>3029</v>
      </c>
      <c r="J226" s="5">
        <v>120</v>
      </c>
      <c r="K226" t="s">
        <v>83</v>
      </c>
      <c r="L226" t="s">
        <v>83</v>
      </c>
      <c r="M226" t="s">
        <v>54</v>
      </c>
      <c r="N226" t="s">
        <v>54</v>
      </c>
      <c r="O226" t="s">
        <v>68</v>
      </c>
      <c r="P226" t="s">
        <v>68</v>
      </c>
      <c r="Q226" t="s">
        <v>248</v>
      </c>
      <c r="R226" t="s">
        <v>64</v>
      </c>
      <c r="S226" s="5">
        <v>0</v>
      </c>
      <c r="T226" s="5">
        <v>0</v>
      </c>
      <c r="U226" t="s">
        <v>57</v>
      </c>
      <c r="V226" t="s">
        <v>794</v>
      </c>
      <c r="W226" s="5"/>
      <c r="X226" s="4"/>
      <c r="Y226" s="4"/>
      <c r="Z226" s="4"/>
      <c r="AA226" s="4">
        <f t="shared" si="9"/>
        <v>3.3408501155496864</v>
      </c>
      <c r="AB226" s="6">
        <f t="shared" si="10"/>
        <v>1.0119434999999999</v>
      </c>
      <c r="AC226" s="6" t="str">
        <f t="shared" si="11"/>
        <v/>
      </c>
    </row>
    <row r="227" spans="1:29">
      <c r="A227" t="s">
        <v>795</v>
      </c>
      <c r="B227" t="s">
        <v>796</v>
      </c>
      <c r="C227" s="3">
        <v>45387</v>
      </c>
      <c r="D227">
        <v>2024</v>
      </c>
      <c r="E227">
        <v>4</v>
      </c>
      <c r="F227" t="s">
        <v>136</v>
      </c>
      <c r="G227" s="4">
        <v>8.3537099999999995</v>
      </c>
      <c r="H227" s="4">
        <v>30</v>
      </c>
      <c r="I227" s="5">
        <v>3375</v>
      </c>
      <c r="J227" s="5">
        <v>119</v>
      </c>
      <c r="K227" t="s">
        <v>83</v>
      </c>
      <c r="L227" t="s">
        <v>83</v>
      </c>
      <c r="M227" t="s">
        <v>39</v>
      </c>
      <c r="N227" t="s">
        <v>39</v>
      </c>
      <c r="O227" t="s">
        <v>413</v>
      </c>
      <c r="P227" t="s">
        <v>74</v>
      </c>
      <c r="Q227" t="s">
        <v>42</v>
      </c>
      <c r="R227" t="s">
        <v>43</v>
      </c>
      <c r="S227" s="5">
        <v>0</v>
      </c>
      <c r="T227" s="5">
        <v>0</v>
      </c>
      <c r="U227" t="s">
        <v>57</v>
      </c>
      <c r="V227" t="s">
        <v>797</v>
      </c>
      <c r="W227" s="5"/>
      <c r="X227" s="4"/>
      <c r="Y227" s="4"/>
      <c r="Z227" s="4"/>
      <c r="AA227" s="4">
        <f t="shared" si="9"/>
        <v>2.4751733333333332</v>
      </c>
      <c r="AB227" s="6">
        <f t="shared" si="10"/>
        <v>0.27845700000000001</v>
      </c>
      <c r="AC227" s="6" t="str">
        <f t="shared" si="11"/>
        <v/>
      </c>
    </row>
    <row r="228" spans="1:29">
      <c r="A228" t="s">
        <v>798</v>
      </c>
      <c r="B228" t="s">
        <v>799</v>
      </c>
      <c r="C228" s="3">
        <v>45394</v>
      </c>
      <c r="D228">
        <v>2024</v>
      </c>
      <c r="E228">
        <v>4</v>
      </c>
      <c r="F228" t="s">
        <v>136</v>
      </c>
      <c r="G228" s="4">
        <v>25.537368000000001</v>
      </c>
      <c r="H228" s="4">
        <v>50</v>
      </c>
      <c r="I228" s="5">
        <v>3838</v>
      </c>
      <c r="J228" s="5">
        <v>109</v>
      </c>
      <c r="K228" t="s">
        <v>83</v>
      </c>
      <c r="L228" t="s">
        <v>83</v>
      </c>
      <c r="M228" t="s">
        <v>61</v>
      </c>
      <c r="N228" t="s">
        <v>61</v>
      </c>
      <c r="O228" t="s">
        <v>226</v>
      </c>
      <c r="P228" t="s">
        <v>56</v>
      </c>
      <c r="Q228" t="s">
        <v>662</v>
      </c>
      <c r="R228" t="s">
        <v>64</v>
      </c>
      <c r="S228" s="5">
        <v>0</v>
      </c>
      <c r="T228" s="5">
        <v>0</v>
      </c>
      <c r="U228" t="s">
        <v>57</v>
      </c>
      <c r="V228" t="s">
        <v>800</v>
      </c>
      <c r="W228" s="5"/>
      <c r="X228" s="4"/>
      <c r="Y228" s="4"/>
      <c r="Z228" s="4"/>
      <c r="AA228" s="4">
        <f t="shared" si="9"/>
        <v>6.653821782178218</v>
      </c>
      <c r="AB228" s="6">
        <f t="shared" si="10"/>
        <v>0.51074735999999998</v>
      </c>
      <c r="AC228" s="6" t="str">
        <f t="shared" si="11"/>
        <v/>
      </c>
    </row>
    <row r="229" spans="1:29">
      <c r="A229" t="s">
        <v>801</v>
      </c>
      <c r="B229" t="s">
        <v>802</v>
      </c>
      <c r="C229" s="3">
        <v>45401</v>
      </c>
      <c r="D229">
        <v>2024</v>
      </c>
      <c r="E229">
        <v>4</v>
      </c>
      <c r="F229" t="s">
        <v>136</v>
      </c>
      <c r="G229" s="4">
        <v>10.29711</v>
      </c>
      <c r="H229" s="4">
        <v>28</v>
      </c>
      <c r="I229" s="5">
        <v>3384</v>
      </c>
      <c r="J229" s="5">
        <v>109</v>
      </c>
      <c r="K229" t="s">
        <v>83</v>
      </c>
      <c r="L229" t="s">
        <v>83</v>
      </c>
      <c r="M229" t="s">
        <v>39</v>
      </c>
      <c r="N229" t="s">
        <v>39</v>
      </c>
      <c r="O229" t="s">
        <v>68</v>
      </c>
      <c r="P229" t="s">
        <v>68</v>
      </c>
      <c r="Q229" t="s">
        <v>42</v>
      </c>
      <c r="R229" t="s">
        <v>43</v>
      </c>
      <c r="S229" s="5">
        <v>0</v>
      </c>
      <c r="T229" s="5">
        <v>0</v>
      </c>
      <c r="U229" t="s">
        <v>57</v>
      </c>
      <c r="V229" t="s">
        <v>803</v>
      </c>
      <c r="W229" s="5"/>
      <c r="X229" s="4"/>
      <c r="Y229" s="4"/>
      <c r="Z229" s="4"/>
      <c r="AA229" s="4">
        <f t="shared" si="9"/>
        <v>3.0428812056737589</v>
      </c>
      <c r="AB229" s="6">
        <f t="shared" si="10"/>
        <v>0.36775392857142858</v>
      </c>
      <c r="AC229" s="6" t="str">
        <f t="shared" si="11"/>
        <v/>
      </c>
    </row>
    <row r="230" spans="1:29">
      <c r="A230" t="s">
        <v>804</v>
      </c>
      <c r="B230" t="s">
        <v>805</v>
      </c>
      <c r="C230" s="3">
        <v>45401</v>
      </c>
      <c r="D230">
        <v>2024</v>
      </c>
      <c r="E230">
        <v>4</v>
      </c>
      <c r="F230" t="s">
        <v>136</v>
      </c>
      <c r="G230" s="4">
        <v>8.9136980000000001</v>
      </c>
      <c r="H230" s="4">
        <v>60</v>
      </c>
      <c r="I230" s="5">
        <v>2845</v>
      </c>
      <c r="J230" s="5">
        <v>120</v>
      </c>
      <c r="K230" t="s">
        <v>83</v>
      </c>
      <c r="L230" t="s">
        <v>83</v>
      </c>
      <c r="M230" t="s">
        <v>61</v>
      </c>
      <c r="N230" t="s">
        <v>61</v>
      </c>
      <c r="O230" t="s">
        <v>84</v>
      </c>
      <c r="P230" t="s">
        <v>84</v>
      </c>
      <c r="Q230" t="s">
        <v>42</v>
      </c>
      <c r="R230" t="s">
        <v>43</v>
      </c>
      <c r="S230" s="5">
        <v>0</v>
      </c>
      <c r="T230" s="5">
        <v>0</v>
      </c>
      <c r="U230" t="s">
        <v>57</v>
      </c>
      <c r="V230" t="s">
        <v>806</v>
      </c>
      <c r="W230" s="5"/>
      <c r="X230" s="4"/>
      <c r="Y230" s="4"/>
      <c r="Z230" s="4"/>
      <c r="AA230" s="4">
        <f t="shared" si="9"/>
        <v>3.1331100175746927</v>
      </c>
      <c r="AB230" s="6">
        <f t="shared" si="10"/>
        <v>0.14856163333333333</v>
      </c>
      <c r="AC230" s="6" t="str">
        <f t="shared" si="11"/>
        <v/>
      </c>
    </row>
    <row r="231" spans="1:29">
      <c r="A231" t="s">
        <v>807</v>
      </c>
      <c r="B231" t="s">
        <v>808</v>
      </c>
      <c r="C231" s="3">
        <v>45401</v>
      </c>
      <c r="D231">
        <v>2024</v>
      </c>
      <c r="E231">
        <v>4</v>
      </c>
      <c r="F231" t="s">
        <v>136</v>
      </c>
      <c r="G231" s="4">
        <v>7.7315389999999997</v>
      </c>
      <c r="H231" s="4">
        <v>6</v>
      </c>
      <c r="I231" s="5">
        <v>2832</v>
      </c>
      <c r="J231" s="5">
        <v>112</v>
      </c>
      <c r="K231" t="s">
        <v>48</v>
      </c>
      <c r="L231" t="s">
        <v>49</v>
      </c>
      <c r="M231" t="s">
        <v>50</v>
      </c>
      <c r="N231" t="s">
        <v>50</v>
      </c>
      <c r="O231" t="s">
        <v>84</v>
      </c>
      <c r="P231" t="s">
        <v>84</v>
      </c>
      <c r="Q231" t="s">
        <v>42</v>
      </c>
      <c r="R231" t="s">
        <v>43</v>
      </c>
      <c r="S231" s="5">
        <v>0</v>
      </c>
      <c r="T231" s="5">
        <v>0</v>
      </c>
      <c r="U231" t="s">
        <v>57</v>
      </c>
      <c r="V231" t="s">
        <v>809</v>
      </c>
      <c r="W231" s="5"/>
      <c r="X231" s="4"/>
      <c r="Y231" s="4"/>
      <c r="Z231" s="4"/>
      <c r="AA231" s="4">
        <f t="shared" si="9"/>
        <v>2.7300632062146892</v>
      </c>
      <c r="AB231" s="6">
        <f t="shared" si="10"/>
        <v>1.2885898333333332</v>
      </c>
      <c r="AC231" s="6" t="str">
        <f t="shared" si="11"/>
        <v/>
      </c>
    </row>
    <row r="232" spans="1:29">
      <c r="A232" t="s">
        <v>810</v>
      </c>
      <c r="B232" t="s">
        <v>811</v>
      </c>
      <c r="C232" s="3">
        <v>45415</v>
      </c>
      <c r="D232">
        <v>2024</v>
      </c>
      <c r="E232">
        <v>5</v>
      </c>
      <c r="F232" t="s">
        <v>136</v>
      </c>
      <c r="G232" s="4">
        <v>6.503012</v>
      </c>
      <c r="H232" s="4">
        <v>8</v>
      </c>
      <c r="I232" s="5">
        <v>3104</v>
      </c>
      <c r="J232" s="5">
        <v>92</v>
      </c>
      <c r="K232" t="s">
        <v>38</v>
      </c>
      <c r="L232" t="s">
        <v>38</v>
      </c>
      <c r="M232" t="s">
        <v>39</v>
      </c>
      <c r="N232" t="s">
        <v>39</v>
      </c>
      <c r="O232" t="s">
        <v>40</v>
      </c>
      <c r="P232" t="s">
        <v>41</v>
      </c>
      <c r="Q232" t="s">
        <v>42</v>
      </c>
      <c r="R232" t="s">
        <v>43</v>
      </c>
      <c r="S232" s="5">
        <v>1</v>
      </c>
      <c r="T232" s="5">
        <v>0</v>
      </c>
      <c r="U232" t="s">
        <v>57</v>
      </c>
      <c r="V232" t="s">
        <v>812</v>
      </c>
      <c r="W232" s="5"/>
      <c r="X232" s="4"/>
      <c r="Y232" s="4"/>
      <c r="Z232" s="4"/>
      <c r="AA232" s="4">
        <f t="shared" si="9"/>
        <v>2.0950425257731959</v>
      </c>
      <c r="AB232" s="6">
        <f t="shared" si="10"/>
        <v>0.8128765</v>
      </c>
      <c r="AC232" s="6" t="str">
        <f t="shared" si="11"/>
        <v/>
      </c>
    </row>
    <row r="233" spans="1:29">
      <c r="A233" t="s">
        <v>813</v>
      </c>
      <c r="B233" t="s">
        <v>814</v>
      </c>
      <c r="C233" s="3">
        <v>45415</v>
      </c>
      <c r="D233">
        <v>2024</v>
      </c>
      <c r="E233">
        <v>5</v>
      </c>
      <c r="F233" t="s">
        <v>136</v>
      </c>
      <c r="G233" s="4">
        <v>27.747035</v>
      </c>
      <c r="H233" s="4">
        <v>125</v>
      </c>
      <c r="I233" s="5">
        <v>4002</v>
      </c>
      <c r="J233" s="5">
        <v>126</v>
      </c>
      <c r="K233" t="s">
        <v>38</v>
      </c>
      <c r="L233" t="s">
        <v>38</v>
      </c>
      <c r="M233" t="s">
        <v>61</v>
      </c>
      <c r="N233" t="s">
        <v>61</v>
      </c>
      <c r="O233" t="s">
        <v>68</v>
      </c>
      <c r="P233" t="s">
        <v>68</v>
      </c>
      <c r="Q233" t="s">
        <v>42</v>
      </c>
      <c r="R233" t="s">
        <v>43</v>
      </c>
      <c r="S233" s="5">
        <v>1</v>
      </c>
      <c r="T233" s="5">
        <v>0</v>
      </c>
      <c r="U233" t="s">
        <v>57</v>
      </c>
      <c r="V233" t="s">
        <v>815</v>
      </c>
      <c r="W233" s="5"/>
      <c r="X233" s="4"/>
      <c r="Y233" s="4"/>
      <c r="Z233" s="4"/>
      <c r="AA233" s="4">
        <f t="shared" si="9"/>
        <v>6.933292103948026</v>
      </c>
      <c r="AB233" s="6">
        <f t="shared" si="10"/>
        <v>0.22197628</v>
      </c>
      <c r="AC233" s="6" t="str">
        <f t="shared" si="11"/>
        <v/>
      </c>
    </row>
    <row r="234" spans="1:29">
      <c r="A234" t="s">
        <v>816</v>
      </c>
      <c r="B234" t="s">
        <v>817</v>
      </c>
      <c r="C234" s="3">
        <v>45422</v>
      </c>
      <c r="D234">
        <v>2024</v>
      </c>
      <c r="E234">
        <v>5</v>
      </c>
      <c r="F234" t="s">
        <v>136</v>
      </c>
      <c r="G234" s="4">
        <v>58.400787999999999</v>
      </c>
      <c r="H234" s="4">
        <v>160</v>
      </c>
      <c r="I234" s="5">
        <v>4075</v>
      </c>
      <c r="J234" s="5">
        <v>145</v>
      </c>
      <c r="K234" t="s">
        <v>38</v>
      </c>
      <c r="L234" t="s">
        <v>38</v>
      </c>
      <c r="M234" t="s">
        <v>61</v>
      </c>
      <c r="N234" t="s">
        <v>61</v>
      </c>
      <c r="O234" t="s">
        <v>413</v>
      </c>
      <c r="P234" t="s">
        <v>74</v>
      </c>
      <c r="Q234" t="s">
        <v>42</v>
      </c>
      <c r="R234" t="s">
        <v>43</v>
      </c>
      <c r="S234" s="5">
        <v>1</v>
      </c>
      <c r="T234" s="5">
        <v>0</v>
      </c>
      <c r="U234" t="s">
        <v>57</v>
      </c>
      <c r="V234" t="s">
        <v>818</v>
      </c>
      <c r="W234" s="5"/>
      <c r="X234" s="4"/>
      <c r="Y234" s="4"/>
      <c r="Z234" s="4"/>
      <c r="AA234" s="4">
        <f t="shared" si="9"/>
        <v>14.33148171779141</v>
      </c>
      <c r="AB234" s="6">
        <f t="shared" si="10"/>
        <v>0.36500492499999998</v>
      </c>
      <c r="AC234" s="6" t="str">
        <f t="shared" si="11"/>
        <v/>
      </c>
    </row>
    <row r="235" spans="1:29">
      <c r="A235" t="s">
        <v>819</v>
      </c>
      <c r="B235" t="s">
        <v>820</v>
      </c>
      <c r="C235" s="3">
        <v>45429</v>
      </c>
      <c r="D235">
        <v>2024</v>
      </c>
      <c r="E235">
        <v>5</v>
      </c>
      <c r="F235" t="s">
        <v>136</v>
      </c>
      <c r="G235" s="4">
        <v>33.715800999999999</v>
      </c>
      <c r="H235" s="4">
        <v>110</v>
      </c>
      <c r="I235" s="5">
        <v>4041</v>
      </c>
      <c r="J235" s="5">
        <v>104</v>
      </c>
      <c r="K235" t="s">
        <v>48</v>
      </c>
      <c r="L235" t="s">
        <v>49</v>
      </c>
      <c r="M235" t="s">
        <v>94</v>
      </c>
      <c r="N235" t="s">
        <v>94</v>
      </c>
      <c r="O235" t="s">
        <v>95</v>
      </c>
      <c r="P235" t="s">
        <v>96</v>
      </c>
      <c r="Q235" t="s">
        <v>42</v>
      </c>
      <c r="R235" t="s">
        <v>43</v>
      </c>
      <c r="S235" s="5">
        <v>1</v>
      </c>
      <c r="T235" s="5">
        <v>0</v>
      </c>
      <c r="U235" t="s">
        <v>57</v>
      </c>
      <c r="V235" t="s">
        <v>821</v>
      </c>
      <c r="W235" s="5"/>
      <c r="X235" s="4"/>
      <c r="Y235" s="4"/>
      <c r="Z235" s="4"/>
      <c r="AA235" s="4">
        <f t="shared" si="9"/>
        <v>8.3434300915614941</v>
      </c>
      <c r="AB235" s="6">
        <f t="shared" si="10"/>
        <v>0.30650728181818182</v>
      </c>
      <c r="AC235" s="6" t="str">
        <f t="shared" si="11"/>
        <v/>
      </c>
    </row>
    <row r="236" spans="1:29">
      <c r="A236" t="s">
        <v>822</v>
      </c>
      <c r="B236" t="s">
        <v>823</v>
      </c>
      <c r="C236" s="3">
        <v>45429</v>
      </c>
      <c r="D236">
        <v>2024</v>
      </c>
      <c r="E236">
        <v>5</v>
      </c>
      <c r="F236" t="s">
        <v>136</v>
      </c>
      <c r="G236" s="4">
        <v>11.825058</v>
      </c>
      <c r="H236" s="4">
        <v>8.5</v>
      </c>
      <c r="I236" s="5">
        <v>2856</v>
      </c>
      <c r="J236" s="5">
        <v>91</v>
      </c>
      <c r="K236" t="s">
        <v>83</v>
      </c>
      <c r="L236" t="s">
        <v>83</v>
      </c>
      <c r="M236" t="s">
        <v>39</v>
      </c>
      <c r="N236" t="s">
        <v>39</v>
      </c>
      <c r="O236" t="s">
        <v>84</v>
      </c>
      <c r="P236" t="s">
        <v>84</v>
      </c>
      <c r="Q236" t="s">
        <v>42</v>
      </c>
      <c r="R236" t="s">
        <v>43</v>
      </c>
      <c r="S236" s="5">
        <v>1</v>
      </c>
      <c r="T236" s="5">
        <v>0</v>
      </c>
      <c r="U236" t="s">
        <v>57</v>
      </c>
      <c r="V236" t="s">
        <v>824</v>
      </c>
      <c r="W236" s="5"/>
      <c r="X236" s="4"/>
      <c r="Y236" s="4"/>
      <c r="Z236" s="4"/>
      <c r="AA236" s="4">
        <f t="shared" si="9"/>
        <v>4.1404264705882357</v>
      </c>
      <c r="AB236" s="6">
        <f t="shared" si="10"/>
        <v>1.3911832941176472</v>
      </c>
      <c r="AC236" s="6" t="str">
        <f t="shared" si="11"/>
        <v/>
      </c>
    </row>
    <row r="237" spans="1:29">
      <c r="A237" t="s">
        <v>825</v>
      </c>
      <c r="B237" t="s">
        <v>826</v>
      </c>
      <c r="C237" s="3">
        <v>45436</v>
      </c>
      <c r="D237">
        <v>2024</v>
      </c>
      <c r="E237">
        <v>5</v>
      </c>
      <c r="F237" t="s">
        <v>136</v>
      </c>
      <c r="G237" s="4">
        <v>26.326461999999999</v>
      </c>
      <c r="H237" s="4">
        <v>168</v>
      </c>
      <c r="I237" s="5">
        <v>3804</v>
      </c>
      <c r="J237" s="5">
        <v>148</v>
      </c>
      <c r="K237" t="s">
        <v>83</v>
      </c>
      <c r="L237" t="s">
        <v>83</v>
      </c>
      <c r="M237" t="s">
        <v>61</v>
      </c>
      <c r="N237" t="s">
        <v>61</v>
      </c>
      <c r="O237" t="s">
        <v>140</v>
      </c>
      <c r="P237" t="s">
        <v>141</v>
      </c>
      <c r="Q237" t="s">
        <v>827</v>
      </c>
      <c r="R237" t="s">
        <v>64</v>
      </c>
      <c r="S237" s="5">
        <v>1</v>
      </c>
      <c r="T237" s="5">
        <v>0</v>
      </c>
      <c r="U237" t="s">
        <v>57</v>
      </c>
      <c r="V237" t="s">
        <v>828</v>
      </c>
      <c r="W237" s="5"/>
      <c r="X237" s="4"/>
      <c r="Y237" s="4"/>
      <c r="Z237" s="4"/>
      <c r="AA237" s="4">
        <f t="shared" si="9"/>
        <v>6.9207313354363826</v>
      </c>
      <c r="AB237" s="6">
        <f t="shared" si="10"/>
        <v>0.15670513095238095</v>
      </c>
      <c r="AC237" s="6" t="str">
        <f t="shared" si="11"/>
        <v/>
      </c>
    </row>
    <row r="238" spans="1:29">
      <c r="A238" t="s">
        <v>829</v>
      </c>
      <c r="B238" t="s">
        <v>830</v>
      </c>
      <c r="C238" s="3">
        <v>45436</v>
      </c>
      <c r="D238">
        <v>2024</v>
      </c>
      <c r="E238">
        <v>5</v>
      </c>
      <c r="F238" t="s">
        <v>136</v>
      </c>
      <c r="G238" s="4">
        <v>24.006629</v>
      </c>
      <c r="H238" s="4">
        <v>60</v>
      </c>
      <c r="I238" s="5">
        <v>4035</v>
      </c>
      <c r="J238" s="5">
        <v>101</v>
      </c>
      <c r="K238" t="s">
        <v>48</v>
      </c>
      <c r="L238" t="s">
        <v>49</v>
      </c>
      <c r="M238" t="s">
        <v>72</v>
      </c>
      <c r="N238" t="s">
        <v>72</v>
      </c>
      <c r="O238" t="s">
        <v>40</v>
      </c>
      <c r="P238" t="s">
        <v>41</v>
      </c>
      <c r="Q238" t="s">
        <v>42</v>
      </c>
      <c r="R238" t="s">
        <v>43</v>
      </c>
      <c r="S238" s="5">
        <v>1</v>
      </c>
      <c r="T238" s="5">
        <v>0</v>
      </c>
      <c r="U238" t="s">
        <v>57</v>
      </c>
      <c r="V238" t="s">
        <v>831</v>
      </c>
      <c r="W238" s="5"/>
      <c r="X238" s="4"/>
      <c r="Y238" s="4"/>
      <c r="Z238" s="4"/>
      <c r="AA238" s="4">
        <f t="shared" si="9"/>
        <v>5.9495982651796782</v>
      </c>
      <c r="AB238" s="6">
        <f t="shared" si="10"/>
        <v>0.40011048333333332</v>
      </c>
      <c r="AC238" s="6" t="str">
        <f t="shared" si="11"/>
        <v/>
      </c>
    </row>
    <row r="239" spans="1:29">
      <c r="A239" t="s">
        <v>832</v>
      </c>
      <c r="B239" t="s">
        <v>833</v>
      </c>
      <c r="C239" s="3">
        <v>45450</v>
      </c>
      <c r="D239">
        <v>2024</v>
      </c>
      <c r="E239">
        <v>6</v>
      </c>
      <c r="F239" t="s">
        <v>136</v>
      </c>
      <c r="G239" s="4">
        <v>56.527324</v>
      </c>
      <c r="H239" s="4">
        <v>100</v>
      </c>
      <c r="I239" s="5">
        <v>3885</v>
      </c>
      <c r="J239" s="5">
        <v>115</v>
      </c>
      <c r="K239" t="s">
        <v>83</v>
      </c>
      <c r="L239" t="s">
        <v>83</v>
      </c>
      <c r="M239" t="s">
        <v>61</v>
      </c>
      <c r="N239" t="s">
        <v>61</v>
      </c>
      <c r="O239" t="s">
        <v>40</v>
      </c>
      <c r="P239" t="s">
        <v>41</v>
      </c>
      <c r="Q239" t="s">
        <v>42</v>
      </c>
      <c r="R239" t="s">
        <v>43</v>
      </c>
      <c r="S239" s="5">
        <v>1</v>
      </c>
      <c r="T239" s="5">
        <v>0</v>
      </c>
      <c r="U239" t="s">
        <v>57</v>
      </c>
      <c r="V239" t="s">
        <v>834</v>
      </c>
      <c r="W239" s="5"/>
      <c r="X239" s="4"/>
      <c r="Y239" s="4"/>
      <c r="Z239" s="4"/>
      <c r="AA239" s="4">
        <f t="shared" si="9"/>
        <v>14.550147747747747</v>
      </c>
      <c r="AB239" s="6">
        <f t="shared" si="10"/>
        <v>0.56527324000000001</v>
      </c>
      <c r="AC239" s="6" t="str">
        <f t="shared" si="11"/>
        <v/>
      </c>
    </row>
    <row r="240" spans="1:29">
      <c r="A240" t="s">
        <v>835</v>
      </c>
      <c r="B240" t="s">
        <v>836</v>
      </c>
      <c r="C240" s="3">
        <v>45450</v>
      </c>
      <c r="D240">
        <v>2024</v>
      </c>
      <c r="E240">
        <v>6</v>
      </c>
      <c r="F240" t="s">
        <v>136</v>
      </c>
      <c r="G240" s="4">
        <v>7.0035369999999997</v>
      </c>
      <c r="H240" s="4">
        <v>30</v>
      </c>
      <c r="I240" s="5">
        <v>3351</v>
      </c>
      <c r="J240" s="5">
        <v>102</v>
      </c>
      <c r="K240" t="s">
        <v>38</v>
      </c>
      <c r="L240" t="s">
        <v>38</v>
      </c>
      <c r="M240" t="s">
        <v>39</v>
      </c>
      <c r="N240" t="s">
        <v>39</v>
      </c>
      <c r="O240" t="s">
        <v>140</v>
      </c>
      <c r="P240" t="s">
        <v>141</v>
      </c>
      <c r="Q240" t="s">
        <v>42</v>
      </c>
      <c r="R240" t="s">
        <v>43</v>
      </c>
      <c r="S240" s="5">
        <v>1</v>
      </c>
      <c r="T240" s="5">
        <v>0</v>
      </c>
      <c r="U240" t="s">
        <v>57</v>
      </c>
      <c r="V240" t="s">
        <v>837</v>
      </c>
      <c r="W240" s="5"/>
      <c r="X240" s="4"/>
      <c r="Y240" s="4"/>
      <c r="Z240" s="4"/>
      <c r="AA240" s="4">
        <f t="shared" si="9"/>
        <v>2.0899841838257234</v>
      </c>
      <c r="AB240" s="6">
        <f t="shared" si="10"/>
        <v>0.23345123333333331</v>
      </c>
      <c r="AC240" s="6" t="str">
        <f t="shared" si="11"/>
        <v/>
      </c>
    </row>
    <row r="241" spans="1:29">
      <c r="A241" t="s">
        <v>838</v>
      </c>
      <c r="B241" t="s">
        <v>839</v>
      </c>
      <c r="C241" s="3">
        <v>45457</v>
      </c>
      <c r="D241">
        <v>2024</v>
      </c>
      <c r="E241">
        <v>6</v>
      </c>
      <c r="F241" t="s">
        <v>136</v>
      </c>
      <c r="G241" s="4">
        <v>154.201673</v>
      </c>
      <c r="H241" s="4">
        <v>200</v>
      </c>
      <c r="I241" s="5">
        <v>4440</v>
      </c>
      <c r="J241" s="5">
        <v>100</v>
      </c>
      <c r="K241" t="s">
        <v>48</v>
      </c>
      <c r="L241" t="s">
        <v>49</v>
      </c>
      <c r="M241" t="s">
        <v>72</v>
      </c>
      <c r="N241" t="s">
        <v>72</v>
      </c>
      <c r="O241" t="s">
        <v>107</v>
      </c>
      <c r="P241" t="s">
        <v>74</v>
      </c>
      <c r="Q241" t="s">
        <v>42</v>
      </c>
      <c r="R241" t="s">
        <v>43</v>
      </c>
      <c r="S241" s="5">
        <v>1</v>
      </c>
      <c r="T241" s="5">
        <v>0</v>
      </c>
      <c r="U241" t="s">
        <v>57</v>
      </c>
      <c r="V241" t="s">
        <v>840</v>
      </c>
      <c r="W241" s="5"/>
      <c r="X241" s="4"/>
      <c r="Y241" s="4"/>
      <c r="Z241" s="4"/>
      <c r="AA241" s="4">
        <f t="shared" si="9"/>
        <v>34.730106531531533</v>
      </c>
      <c r="AB241" s="6">
        <f t="shared" si="10"/>
        <v>0.77100836500000003</v>
      </c>
      <c r="AC241" s="6" t="str">
        <f t="shared" si="11"/>
        <v/>
      </c>
    </row>
    <row r="242" spans="1:29">
      <c r="A242" t="s">
        <v>841</v>
      </c>
      <c r="B242" t="s">
        <v>842</v>
      </c>
      <c r="C242" s="3">
        <v>45471</v>
      </c>
      <c r="D242">
        <v>2024</v>
      </c>
      <c r="E242">
        <v>6</v>
      </c>
      <c r="F242" t="s">
        <v>136</v>
      </c>
      <c r="G242" s="4">
        <v>52.202494999999999</v>
      </c>
      <c r="H242" s="4">
        <v>67</v>
      </c>
      <c r="I242" s="5">
        <v>3708</v>
      </c>
      <c r="J242" s="5">
        <v>99</v>
      </c>
      <c r="K242" t="s">
        <v>38</v>
      </c>
      <c r="L242" t="s">
        <v>38</v>
      </c>
      <c r="M242" t="s">
        <v>39</v>
      </c>
      <c r="N242" t="s">
        <v>39</v>
      </c>
      <c r="O242" t="s">
        <v>95</v>
      </c>
      <c r="P242" t="s">
        <v>96</v>
      </c>
      <c r="Q242" t="s">
        <v>42</v>
      </c>
      <c r="R242" t="s">
        <v>43</v>
      </c>
      <c r="S242" s="5">
        <v>1</v>
      </c>
      <c r="T242" s="5">
        <v>0</v>
      </c>
      <c r="U242" t="s">
        <v>57</v>
      </c>
      <c r="V242" t="s">
        <v>843</v>
      </c>
      <c r="W242" s="5"/>
      <c r="X242" s="4"/>
      <c r="Y242" s="4"/>
      <c r="Z242" s="4"/>
      <c r="AA242" s="4">
        <f t="shared" si="9"/>
        <v>14.078342772384033</v>
      </c>
      <c r="AB242" s="6">
        <f t="shared" si="10"/>
        <v>0.77914171641791041</v>
      </c>
      <c r="AC242" s="6" t="str">
        <f t="shared" si="11"/>
        <v/>
      </c>
    </row>
    <row r="243" spans="1:29">
      <c r="A243" t="s">
        <v>844</v>
      </c>
      <c r="B243" t="s">
        <v>845</v>
      </c>
      <c r="C243" s="3">
        <v>45471</v>
      </c>
      <c r="D243">
        <v>2024</v>
      </c>
      <c r="E243">
        <v>6</v>
      </c>
      <c r="F243" t="s">
        <v>136</v>
      </c>
      <c r="G243" s="4">
        <v>11.052561000000001</v>
      </c>
      <c r="H243" s="4">
        <v>50</v>
      </c>
      <c r="I243" s="5">
        <v>3334</v>
      </c>
      <c r="J243" s="5">
        <v>181</v>
      </c>
      <c r="K243" t="s">
        <v>83</v>
      </c>
      <c r="L243" t="s">
        <v>83</v>
      </c>
      <c r="M243" t="s">
        <v>846</v>
      </c>
      <c r="N243" t="s">
        <v>56</v>
      </c>
      <c r="O243" t="s">
        <v>140</v>
      </c>
      <c r="P243" t="s">
        <v>141</v>
      </c>
      <c r="Q243" t="s">
        <v>42</v>
      </c>
      <c r="R243" t="s">
        <v>43</v>
      </c>
      <c r="S243" s="5">
        <v>1</v>
      </c>
      <c r="T243" s="5">
        <v>0</v>
      </c>
      <c r="U243" t="s">
        <v>57</v>
      </c>
      <c r="V243" t="s">
        <v>847</v>
      </c>
      <c r="W243" s="5"/>
      <c r="X243" s="4"/>
      <c r="Y243" s="4"/>
      <c r="Z243" s="4"/>
      <c r="AA243" s="4">
        <f t="shared" si="9"/>
        <v>3.3151052789442117</v>
      </c>
      <c r="AB243" s="6">
        <f t="shared" si="10"/>
        <v>0.22105122000000002</v>
      </c>
      <c r="AC243" s="6" t="str">
        <f t="shared" si="11"/>
        <v/>
      </c>
    </row>
    <row r="244" spans="1:29">
      <c r="A244" t="s">
        <v>848</v>
      </c>
      <c r="B244" t="s">
        <v>849</v>
      </c>
      <c r="C244" s="3">
        <v>45476</v>
      </c>
      <c r="D244">
        <v>2024</v>
      </c>
      <c r="E244">
        <v>7</v>
      </c>
      <c r="F244" t="s">
        <v>222</v>
      </c>
      <c r="G244" s="4">
        <v>75.009209999999996</v>
      </c>
      <c r="H244" s="4">
        <v>100</v>
      </c>
      <c r="I244" s="5">
        <v>4428</v>
      </c>
      <c r="J244" s="5">
        <v>94</v>
      </c>
      <c r="K244" t="s">
        <v>48</v>
      </c>
      <c r="L244" t="s">
        <v>49</v>
      </c>
      <c r="M244" t="s">
        <v>72</v>
      </c>
      <c r="N244" t="s">
        <v>72</v>
      </c>
      <c r="O244" t="s">
        <v>68</v>
      </c>
      <c r="P244" t="s">
        <v>68</v>
      </c>
      <c r="Q244" t="s">
        <v>42</v>
      </c>
      <c r="R244" t="s">
        <v>43</v>
      </c>
      <c r="S244" s="5">
        <v>1</v>
      </c>
      <c r="T244" s="5">
        <v>0</v>
      </c>
      <c r="U244" t="s">
        <v>57</v>
      </c>
      <c r="V244" t="s">
        <v>850</v>
      </c>
      <c r="W244" s="5"/>
      <c r="X244" s="4"/>
      <c r="Y244" s="4"/>
      <c r="Z244" s="4"/>
      <c r="AA244" s="4">
        <f t="shared" si="9"/>
        <v>16.939749322493224</v>
      </c>
      <c r="AB244" s="6">
        <f t="shared" si="10"/>
        <v>0.75009209999999993</v>
      </c>
      <c r="AC244" s="6" t="str">
        <f t="shared" si="11"/>
        <v/>
      </c>
    </row>
    <row r="245" spans="1:29">
      <c r="A245" t="s">
        <v>851</v>
      </c>
      <c r="B245" t="s">
        <v>852</v>
      </c>
      <c r="C245" s="3">
        <v>45477</v>
      </c>
      <c r="D245">
        <v>2024</v>
      </c>
      <c r="E245">
        <v>7</v>
      </c>
      <c r="F245" t="s">
        <v>222</v>
      </c>
      <c r="G245" s="4">
        <v>3.0787580000000001</v>
      </c>
      <c r="H245" s="4">
        <v>8.5</v>
      </c>
      <c r="I245" s="5">
        <v>2200</v>
      </c>
      <c r="J245" s="5">
        <v>129</v>
      </c>
      <c r="K245" t="s">
        <v>38</v>
      </c>
      <c r="L245" t="s">
        <v>38</v>
      </c>
      <c r="M245" t="s">
        <v>50</v>
      </c>
      <c r="N245" t="s">
        <v>50</v>
      </c>
      <c r="O245" t="s">
        <v>595</v>
      </c>
      <c r="P245" t="s">
        <v>56</v>
      </c>
      <c r="Q245" t="s">
        <v>42</v>
      </c>
      <c r="R245" t="s">
        <v>43</v>
      </c>
      <c r="S245" s="5">
        <v>1</v>
      </c>
      <c r="T245" s="5">
        <v>0</v>
      </c>
      <c r="U245" t="s">
        <v>57</v>
      </c>
      <c r="V245" t="s">
        <v>853</v>
      </c>
      <c r="W245" s="5"/>
      <c r="X245" s="4"/>
      <c r="Y245" s="4"/>
      <c r="Z245" s="4"/>
      <c r="AA245" s="4">
        <f t="shared" si="9"/>
        <v>1.3994354545454546</v>
      </c>
      <c r="AB245" s="6">
        <f t="shared" si="10"/>
        <v>0.3622068235294118</v>
      </c>
      <c r="AC245" s="6" t="str">
        <f t="shared" si="11"/>
        <v/>
      </c>
    </row>
    <row r="246" spans="1:29">
      <c r="A246" t="s">
        <v>854</v>
      </c>
      <c r="B246" t="s">
        <v>855</v>
      </c>
      <c r="C246" s="3">
        <v>45485</v>
      </c>
      <c r="D246">
        <v>2024</v>
      </c>
      <c r="E246">
        <v>7</v>
      </c>
      <c r="F246" t="s">
        <v>222</v>
      </c>
      <c r="G246" s="4">
        <v>9.4021760000000008</v>
      </c>
      <c r="H246" s="4">
        <v>100</v>
      </c>
      <c r="I246" s="5">
        <v>3356</v>
      </c>
      <c r="J246" s="5">
        <v>132</v>
      </c>
      <c r="K246" t="s">
        <v>38</v>
      </c>
      <c r="L246" t="s">
        <v>38</v>
      </c>
      <c r="M246" t="s">
        <v>93</v>
      </c>
      <c r="N246" t="s">
        <v>94</v>
      </c>
      <c r="O246" t="s">
        <v>40</v>
      </c>
      <c r="P246" t="s">
        <v>41</v>
      </c>
      <c r="Q246" t="s">
        <v>42</v>
      </c>
      <c r="R246" t="s">
        <v>43</v>
      </c>
      <c r="S246" s="5">
        <v>1</v>
      </c>
      <c r="T246" s="5">
        <v>0</v>
      </c>
      <c r="U246" t="s">
        <v>57</v>
      </c>
      <c r="V246" t="s">
        <v>856</v>
      </c>
      <c r="W246" s="5"/>
      <c r="X246" s="4"/>
      <c r="Y246" s="4"/>
      <c r="Z246" s="4"/>
      <c r="AA246" s="4">
        <f t="shared" si="9"/>
        <v>2.8016019070321816</v>
      </c>
      <c r="AB246" s="6">
        <f t="shared" si="10"/>
        <v>9.402176000000001E-2</v>
      </c>
      <c r="AC246" s="6" t="str">
        <f t="shared" si="11"/>
        <v/>
      </c>
    </row>
    <row r="247" spans="1:29">
      <c r="A247" t="s">
        <v>857</v>
      </c>
      <c r="B247" t="s">
        <v>858</v>
      </c>
      <c r="C247" s="3">
        <v>45485</v>
      </c>
      <c r="D247">
        <v>2024</v>
      </c>
      <c r="E247">
        <v>7</v>
      </c>
      <c r="F247" t="s">
        <v>222</v>
      </c>
      <c r="G247" s="4">
        <v>22.400119</v>
      </c>
      <c r="H247" s="4">
        <v>10</v>
      </c>
      <c r="I247" s="5">
        <v>2510</v>
      </c>
      <c r="J247" s="5">
        <v>101</v>
      </c>
      <c r="K247" t="s">
        <v>83</v>
      </c>
      <c r="L247" t="s">
        <v>83</v>
      </c>
      <c r="M247" t="s">
        <v>39</v>
      </c>
      <c r="N247" t="s">
        <v>39</v>
      </c>
      <c r="O247" t="s">
        <v>128</v>
      </c>
      <c r="P247" t="s">
        <v>56</v>
      </c>
      <c r="Q247" t="s">
        <v>42</v>
      </c>
      <c r="R247" t="s">
        <v>43</v>
      </c>
      <c r="S247" s="5">
        <v>1</v>
      </c>
      <c r="T247" s="5">
        <v>0</v>
      </c>
      <c r="U247" t="s">
        <v>57</v>
      </c>
      <c r="V247" t="s">
        <v>859</v>
      </c>
      <c r="W247" s="5"/>
      <c r="X247" s="4"/>
      <c r="Y247" s="4"/>
      <c r="Z247" s="4"/>
      <c r="AA247" s="4">
        <f t="shared" si="9"/>
        <v>8.924350199203186</v>
      </c>
      <c r="AB247" s="6">
        <f t="shared" si="10"/>
        <v>2.2400118999999998</v>
      </c>
      <c r="AC247" s="6" t="str">
        <f t="shared" si="11"/>
        <v/>
      </c>
    </row>
    <row r="248" spans="1:29">
      <c r="A248" t="s">
        <v>860</v>
      </c>
      <c r="B248" t="s">
        <v>861</v>
      </c>
      <c r="C248" s="3">
        <v>45499</v>
      </c>
      <c r="D248">
        <v>2024</v>
      </c>
      <c r="E248">
        <v>7</v>
      </c>
      <c r="F248" t="s">
        <v>222</v>
      </c>
      <c r="G248" s="4">
        <v>211.43529100000001</v>
      </c>
      <c r="H248" s="4">
        <v>200</v>
      </c>
      <c r="I248" s="5">
        <v>4210</v>
      </c>
      <c r="J248" s="5">
        <v>127</v>
      </c>
      <c r="K248" t="s">
        <v>83</v>
      </c>
      <c r="L248" t="s">
        <v>83</v>
      </c>
      <c r="M248" t="s">
        <v>61</v>
      </c>
      <c r="N248" t="s">
        <v>61</v>
      </c>
      <c r="O248" t="s">
        <v>107</v>
      </c>
      <c r="P248" t="s">
        <v>74</v>
      </c>
      <c r="Q248" t="s">
        <v>42</v>
      </c>
      <c r="R248" t="s">
        <v>43</v>
      </c>
      <c r="S248" s="5">
        <v>1</v>
      </c>
      <c r="T248" s="5">
        <v>0</v>
      </c>
      <c r="U248" t="s">
        <v>57</v>
      </c>
      <c r="V248" t="s">
        <v>862</v>
      </c>
      <c r="W248" s="5"/>
      <c r="X248" s="4"/>
      <c r="Y248" s="4"/>
      <c r="Z248" s="4"/>
      <c r="AA248" s="4">
        <f t="shared" si="9"/>
        <v>50.222159382422802</v>
      </c>
      <c r="AB248" s="6">
        <f t="shared" si="10"/>
        <v>1.057176455</v>
      </c>
      <c r="AC248" s="6" t="str">
        <f t="shared" si="11"/>
        <v/>
      </c>
    </row>
    <row r="249" spans="1:29">
      <c r="A249" t="s">
        <v>863</v>
      </c>
      <c r="B249" t="s">
        <v>864</v>
      </c>
      <c r="C249" s="3">
        <v>45506</v>
      </c>
      <c r="D249">
        <v>2024</v>
      </c>
      <c r="E249">
        <v>8</v>
      </c>
      <c r="F249" t="s">
        <v>222</v>
      </c>
      <c r="G249" s="4">
        <v>15.454146</v>
      </c>
      <c r="H249" s="4">
        <v>30</v>
      </c>
      <c r="I249" s="5">
        <v>3181</v>
      </c>
      <c r="J249" s="5">
        <v>105</v>
      </c>
      <c r="K249" t="s">
        <v>38</v>
      </c>
      <c r="L249" t="s">
        <v>38</v>
      </c>
      <c r="M249" t="s">
        <v>54</v>
      </c>
      <c r="N249" t="s">
        <v>54</v>
      </c>
      <c r="O249" t="s">
        <v>140</v>
      </c>
      <c r="P249" t="s">
        <v>141</v>
      </c>
      <c r="Q249" t="s">
        <v>865</v>
      </c>
      <c r="R249" t="s">
        <v>64</v>
      </c>
      <c r="S249" s="5">
        <v>0</v>
      </c>
      <c r="T249" s="5">
        <v>0</v>
      </c>
      <c r="U249" t="s">
        <v>57</v>
      </c>
      <c r="V249" t="s">
        <v>866</v>
      </c>
      <c r="W249" s="5"/>
      <c r="X249" s="4"/>
      <c r="Y249" s="4"/>
      <c r="Z249" s="4"/>
      <c r="AA249" s="4">
        <f t="shared" si="9"/>
        <v>4.8582665828355855</v>
      </c>
      <c r="AB249" s="6">
        <f t="shared" si="10"/>
        <v>0.51513819999999999</v>
      </c>
      <c r="AC249" s="6" t="str">
        <f t="shared" si="11"/>
        <v/>
      </c>
    </row>
    <row r="250" spans="1:29">
      <c r="A250" t="s">
        <v>867</v>
      </c>
      <c r="B250" t="s">
        <v>868</v>
      </c>
      <c r="C250" s="3">
        <v>45513</v>
      </c>
      <c r="D250">
        <v>2024</v>
      </c>
      <c r="E250">
        <v>8</v>
      </c>
      <c r="F250" t="s">
        <v>222</v>
      </c>
      <c r="G250" s="4">
        <v>8.6015720000000009</v>
      </c>
      <c r="H250" s="4">
        <v>115</v>
      </c>
      <c r="I250" s="5">
        <v>3125</v>
      </c>
      <c r="J250" s="5">
        <v>102</v>
      </c>
      <c r="K250" t="s">
        <v>38</v>
      </c>
      <c r="L250" t="s">
        <v>38</v>
      </c>
      <c r="M250" t="s">
        <v>61</v>
      </c>
      <c r="N250" t="s">
        <v>61</v>
      </c>
      <c r="O250" t="s">
        <v>84</v>
      </c>
      <c r="P250" t="s">
        <v>84</v>
      </c>
      <c r="Q250" t="s">
        <v>42</v>
      </c>
      <c r="R250" t="s">
        <v>43</v>
      </c>
      <c r="S250" s="5">
        <v>0</v>
      </c>
      <c r="T250" s="5">
        <v>0</v>
      </c>
      <c r="U250" t="s">
        <v>57</v>
      </c>
      <c r="V250" t="s">
        <v>869</v>
      </c>
      <c r="W250" s="5"/>
      <c r="X250" s="4"/>
      <c r="Y250" s="4"/>
      <c r="Z250" s="4"/>
      <c r="AA250" s="4">
        <f t="shared" si="9"/>
        <v>2.7525030400000001</v>
      </c>
      <c r="AB250" s="6">
        <f t="shared" si="10"/>
        <v>7.479627826086957E-2</v>
      </c>
      <c r="AC250" s="6" t="str">
        <f t="shared" si="11"/>
        <v/>
      </c>
    </row>
    <row r="251" spans="1:29">
      <c r="A251" t="s">
        <v>870</v>
      </c>
      <c r="B251" t="s">
        <v>871</v>
      </c>
      <c r="C251" s="3">
        <v>45520</v>
      </c>
      <c r="D251">
        <v>2024</v>
      </c>
      <c r="E251">
        <v>8</v>
      </c>
      <c r="F251" t="s">
        <v>222</v>
      </c>
      <c r="G251" s="4">
        <v>42.003360999999998</v>
      </c>
      <c r="H251" s="4">
        <v>80</v>
      </c>
      <c r="I251" s="5">
        <v>3885</v>
      </c>
      <c r="J251" s="5">
        <v>119</v>
      </c>
      <c r="K251" t="s">
        <v>83</v>
      </c>
      <c r="L251" t="s">
        <v>83</v>
      </c>
      <c r="M251" t="s">
        <v>39</v>
      </c>
      <c r="N251" t="s">
        <v>39</v>
      </c>
      <c r="O251" t="s">
        <v>413</v>
      </c>
      <c r="P251" t="s">
        <v>74</v>
      </c>
      <c r="Q251" t="s">
        <v>42</v>
      </c>
      <c r="R251" t="s">
        <v>43</v>
      </c>
      <c r="S251" s="5">
        <v>0</v>
      </c>
      <c r="T251" s="5">
        <v>0</v>
      </c>
      <c r="U251" t="s">
        <v>57</v>
      </c>
      <c r="V251" t="s">
        <v>872</v>
      </c>
      <c r="W251" s="5"/>
      <c r="X251" s="4"/>
      <c r="Y251" s="4"/>
      <c r="Z251" s="4"/>
      <c r="AA251" s="4">
        <f t="shared" si="9"/>
        <v>10.811675933075932</v>
      </c>
      <c r="AB251" s="6">
        <f t="shared" si="10"/>
        <v>0.52504201249999993</v>
      </c>
      <c r="AC251" s="6" t="str">
        <f t="shared" si="11"/>
        <v/>
      </c>
    </row>
    <row r="252" spans="1:29">
      <c r="A252" t="s">
        <v>873</v>
      </c>
      <c r="B252" t="s">
        <v>874</v>
      </c>
      <c r="C252" s="3">
        <v>45534</v>
      </c>
      <c r="D252">
        <v>2024</v>
      </c>
      <c r="E252">
        <v>8</v>
      </c>
      <c r="F252" t="s">
        <v>222</v>
      </c>
      <c r="G252" s="4">
        <v>3.665664</v>
      </c>
      <c r="H252" s="4">
        <v>12</v>
      </c>
      <c r="I252" s="5">
        <v>3003</v>
      </c>
      <c r="J252" s="5">
        <v>84</v>
      </c>
      <c r="K252" t="s">
        <v>38</v>
      </c>
      <c r="L252" t="s">
        <v>38</v>
      </c>
      <c r="M252" t="s">
        <v>39</v>
      </c>
      <c r="N252" t="s">
        <v>39</v>
      </c>
      <c r="O252" t="s">
        <v>40</v>
      </c>
      <c r="P252" t="s">
        <v>41</v>
      </c>
      <c r="Q252" t="s">
        <v>42</v>
      </c>
      <c r="R252" t="s">
        <v>43</v>
      </c>
      <c r="S252" s="5">
        <v>0</v>
      </c>
      <c r="T252" s="5">
        <v>0</v>
      </c>
      <c r="U252" t="s">
        <v>57</v>
      </c>
      <c r="V252" t="s">
        <v>875</v>
      </c>
      <c r="W252" s="5"/>
      <c r="X252" s="4"/>
      <c r="Y252" s="4"/>
      <c r="Z252" s="4"/>
      <c r="AA252" s="4">
        <f t="shared" si="9"/>
        <v>1.2206673326673327</v>
      </c>
      <c r="AB252" s="6">
        <f t="shared" si="10"/>
        <v>0.30547200000000002</v>
      </c>
      <c r="AC252" s="6" t="str">
        <f t="shared" si="11"/>
        <v/>
      </c>
    </row>
    <row r="253" spans="1:29">
      <c r="A253" t="s">
        <v>876</v>
      </c>
      <c r="B253" t="s">
        <v>877</v>
      </c>
      <c r="C253" s="3">
        <v>45534</v>
      </c>
      <c r="D253">
        <v>2024</v>
      </c>
      <c r="E253">
        <v>8</v>
      </c>
      <c r="F253" t="s">
        <v>222</v>
      </c>
      <c r="G253" s="4">
        <v>7.6507199999999997</v>
      </c>
      <c r="H253" s="4">
        <v>25</v>
      </c>
      <c r="I253" s="5">
        <v>2754</v>
      </c>
      <c r="J253" s="5">
        <v>135</v>
      </c>
      <c r="K253" t="s">
        <v>38</v>
      </c>
      <c r="L253" t="s">
        <v>38</v>
      </c>
      <c r="M253" t="s">
        <v>50</v>
      </c>
      <c r="N253" t="s">
        <v>50</v>
      </c>
      <c r="O253" t="s">
        <v>878</v>
      </c>
      <c r="P253" t="s">
        <v>56</v>
      </c>
      <c r="Q253" t="s">
        <v>42</v>
      </c>
      <c r="R253" t="s">
        <v>43</v>
      </c>
      <c r="S253" s="5">
        <v>0</v>
      </c>
      <c r="T253" s="5">
        <v>0</v>
      </c>
      <c r="U253" t="s">
        <v>57</v>
      </c>
      <c r="V253" t="s">
        <v>879</v>
      </c>
      <c r="W253" s="5"/>
      <c r="X253" s="4"/>
      <c r="Y253" s="4"/>
      <c r="Z253" s="4"/>
      <c r="AA253" s="4">
        <f t="shared" si="9"/>
        <v>2.7780392156862743</v>
      </c>
      <c r="AB253" s="6">
        <f t="shared" si="10"/>
        <v>0.30602879999999999</v>
      </c>
      <c r="AC253" s="6" t="str">
        <f t="shared" si="11"/>
        <v/>
      </c>
    </row>
    <row r="254" spans="1:29">
      <c r="A254" t="s">
        <v>880</v>
      </c>
      <c r="B254" t="s">
        <v>881</v>
      </c>
      <c r="C254" s="3">
        <v>45541</v>
      </c>
      <c r="D254">
        <v>2024</v>
      </c>
      <c r="E254">
        <v>9</v>
      </c>
      <c r="F254" t="s">
        <v>222</v>
      </c>
      <c r="G254" s="4">
        <v>111.003345</v>
      </c>
      <c r="H254" s="4">
        <v>100</v>
      </c>
      <c r="I254" s="5">
        <v>4575</v>
      </c>
      <c r="J254" s="5">
        <v>144</v>
      </c>
      <c r="K254" t="s">
        <v>38</v>
      </c>
      <c r="L254" t="s">
        <v>38</v>
      </c>
      <c r="M254" t="s">
        <v>94</v>
      </c>
      <c r="N254" t="s">
        <v>94</v>
      </c>
      <c r="O254" t="s">
        <v>140</v>
      </c>
      <c r="P254" t="s">
        <v>141</v>
      </c>
      <c r="Q254" t="s">
        <v>42</v>
      </c>
      <c r="R254" t="s">
        <v>43</v>
      </c>
      <c r="S254" s="5">
        <v>0</v>
      </c>
      <c r="T254" s="5">
        <v>0</v>
      </c>
      <c r="U254" t="s">
        <v>57</v>
      </c>
      <c r="V254" t="s">
        <v>882</v>
      </c>
      <c r="W254" s="5"/>
      <c r="X254" s="4"/>
      <c r="Y254" s="4"/>
      <c r="Z254" s="4"/>
      <c r="AA254" s="4">
        <f t="shared" si="9"/>
        <v>24.263026229508196</v>
      </c>
      <c r="AB254" s="6">
        <f t="shared" si="10"/>
        <v>1.11003345</v>
      </c>
      <c r="AC254" s="6" t="str">
        <f t="shared" si="11"/>
        <v/>
      </c>
    </row>
    <row r="255" spans="1:29">
      <c r="A255" t="s">
        <v>883</v>
      </c>
      <c r="B255" t="s">
        <v>884</v>
      </c>
      <c r="C255" s="3">
        <v>45548</v>
      </c>
      <c r="D255">
        <v>2024</v>
      </c>
      <c r="E255">
        <v>9</v>
      </c>
      <c r="F255" t="s">
        <v>222</v>
      </c>
      <c r="G255" s="4">
        <v>4.5440630000000004</v>
      </c>
      <c r="H255" s="4">
        <v>3</v>
      </c>
      <c r="I255" s="5">
        <v>1517</v>
      </c>
      <c r="J255" s="5">
        <v>101</v>
      </c>
      <c r="K255" t="s">
        <v>38</v>
      </c>
      <c r="L255" t="s">
        <v>38</v>
      </c>
      <c r="M255" t="s">
        <v>885</v>
      </c>
      <c r="N255" t="s">
        <v>56</v>
      </c>
      <c r="O255" t="s">
        <v>132</v>
      </c>
      <c r="P255" t="s">
        <v>56</v>
      </c>
      <c r="Q255" t="s">
        <v>42</v>
      </c>
      <c r="R255" t="s">
        <v>43</v>
      </c>
      <c r="S255" s="5">
        <v>0</v>
      </c>
      <c r="T255" s="5">
        <v>0</v>
      </c>
      <c r="U255" t="s">
        <v>57</v>
      </c>
      <c r="V255" t="s">
        <v>886</v>
      </c>
      <c r="W255" s="5"/>
      <c r="X255" s="4"/>
      <c r="Y255" s="4"/>
      <c r="Z255" s="4"/>
      <c r="AA255" s="4">
        <f t="shared" si="9"/>
        <v>2.9954271588661832</v>
      </c>
      <c r="AB255" s="6">
        <f t="shared" si="10"/>
        <v>1.5146876666666669</v>
      </c>
      <c r="AC255" s="6" t="str">
        <f t="shared" si="11"/>
        <v/>
      </c>
    </row>
    <row r="256" spans="1:29">
      <c r="A256" t="s">
        <v>887</v>
      </c>
      <c r="B256" t="s">
        <v>888</v>
      </c>
      <c r="C256" s="3">
        <v>45548</v>
      </c>
      <c r="D256">
        <v>2024</v>
      </c>
      <c r="E256">
        <v>9</v>
      </c>
      <c r="F256" t="s">
        <v>222</v>
      </c>
      <c r="G256" s="4">
        <v>11.397595000000001</v>
      </c>
      <c r="H256" s="4">
        <v>15</v>
      </c>
      <c r="I256" s="5">
        <v>3375</v>
      </c>
      <c r="J256" s="5">
        <v>110</v>
      </c>
      <c r="K256" t="s">
        <v>83</v>
      </c>
      <c r="L256" t="s">
        <v>83</v>
      </c>
      <c r="M256" t="s">
        <v>39</v>
      </c>
      <c r="N256" t="s">
        <v>39</v>
      </c>
      <c r="O256" t="s">
        <v>68</v>
      </c>
      <c r="P256" t="s">
        <v>68</v>
      </c>
      <c r="Q256" t="s">
        <v>42</v>
      </c>
      <c r="R256" t="s">
        <v>43</v>
      </c>
      <c r="S256" s="5">
        <v>0</v>
      </c>
      <c r="T256" s="5">
        <v>0</v>
      </c>
      <c r="U256" t="s">
        <v>57</v>
      </c>
      <c r="V256" t="s">
        <v>889</v>
      </c>
      <c r="W256" s="5"/>
      <c r="X256" s="4"/>
      <c r="Y256" s="4"/>
      <c r="Z256" s="4"/>
      <c r="AA256" s="4">
        <f t="shared" si="9"/>
        <v>3.3770651851851854</v>
      </c>
      <c r="AB256" s="6">
        <f t="shared" si="10"/>
        <v>0.75983966666666669</v>
      </c>
      <c r="AC256" s="6" t="str">
        <f t="shared" si="11"/>
        <v/>
      </c>
    </row>
    <row r="257" spans="1:29">
      <c r="A257" t="s">
        <v>890</v>
      </c>
      <c r="B257" t="s">
        <v>891</v>
      </c>
      <c r="C257" s="3">
        <v>45548</v>
      </c>
      <c r="D257">
        <v>2024</v>
      </c>
      <c r="E257">
        <v>9</v>
      </c>
      <c r="F257" t="s">
        <v>222</v>
      </c>
      <c r="G257" s="4">
        <v>2.6978499999999999</v>
      </c>
      <c r="H257" s="4">
        <v>30</v>
      </c>
      <c r="I257" s="5">
        <v>2623</v>
      </c>
      <c r="J257" s="5">
        <v>104</v>
      </c>
      <c r="K257" t="s">
        <v>83</v>
      </c>
      <c r="L257" t="s">
        <v>83</v>
      </c>
      <c r="M257" t="s">
        <v>61</v>
      </c>
      <c r="N257" t="s">
        <v>61</v>
      </c>
      <c r="O257" t="s">
        <v>84</v>
      </c>
      <c r="P257" t="s">
        <v>84</v>
      </c>
      <c r="Q257" t="s">
        <v>42</v>
      </c>
      <c r="R257" t="s">
        <v>43</v>
      </c>
      <c r="S257" s="5">
        <v>0</v>
      </c>
      <c r="T257" s="5">
        <v>0</v>
      </c>
      <c r="U257" t="s">
        <v>57</v>
      </c>
      <c r="V257" t="s">
        <v>892</v>
      </c>
      <c r="W257" s="5"/>
      <c r="X257" s="4"/>
      <c r="Y257" s="4"/>
      <c r="Z257" s="4"/>
      <c r="AA257" s="4">
        <f t="shared" si="9"/>
        <v>1.0285360274494852</v>
      </c>
      <c r="AB257" s="6">
        <f t="shared" si="10"/>
        <v>8.9928333333333332E-2</v>
      </c>
      <c r="AC257" s="6" t="str">
        <f t="shared" si="11"/>
        <v/>
      </c>
    </row>
    <row r="258" spans="1:29">
      <c r="A258" t="s">
        <v>893</v>
      </c>
      <c r="B258" t="s">
        <v>894</v>
      </c>
      <c r="C258" s="3">
        <v>45555</v>
      </c>
      <c r="D258">
        <v>2024</v>
      </c>
      <c r="E258">
        <v>9</v>
      </c>
      <c r="F258" t="s">
        <v>222</v>
      </c>
      <c r="G258" s="4">
        <v>4.449065</v>
      </c>
      <c r="H258" s="4">
        <v>20</v>
      </c>
      <c r="I258" s="5">
        <v>2667</v>
      </c>
      <c r="J258" s="5">
        <v>101</v>
      </c>
      <c r="K258" t="s">
        <v>83</v>
      </c>
      <c r="L258" t="s">
        <v>83</v>
      </c>
      <c r="M258" t="s">
        <v>39</v>
      </c>
      <c r="N258" t="s">
        <v>39</v>
      </c>
      <c r="O258" t="s">
        <v>84</v>
      </c>
      <c r="P258" t="s">
        <v>84</v>
      </c>
      <c r="Q258" t="s">
        <v>42</v>
      </c>
      <c r="R258" t="s">
        <v>43</v>
      </c>
      <c r="S258" s="5">
        <v>0</v>
      </c>
      <c r="T258" s="5">
        <v>0</v>
      </c>
      <c r="U258" t="s">
        <v>57</v>
      </c>
      <c r="V258" t="s">
        <v>895</v>
      </c>
      <c r="W258" s="5"/>
      <c r="X258" s="4"/>
      <c r="Y258" s="4"/>
      <c r="Z258" s="4"/>
      <c r="AA258" s="4">
        <f t="shared" ref="AA258:AA321" si="12">IFERROR(G258*1000/I258,"")</f>
        <v>1.668190851143607</v>
      </c>
      <c r="AB258" s="6">
        <f t="shared" ref="AB258:AB321" si="13">IFERROR(G258/H258,"")</f>
        <v>0.22245324999999999</v>
      </c>
      <c r="AC258" s="6" t="str">
        <f t="shared" ref="AC258:AC321" si="14">IF(Z258="","",Z258/H258)</f>
        <v/>
      </c>
    </row>
    <row r="259" spans="1:29">
      <c r="A259" t="s">
        <v>896</v>
      </c>
      <c r="B259" t="s">
        <v>897</v>
      </c>
      <c r="C259" s="3">
        <v>45555</v>
      </c>
      <c r="D259">
        <v>2024</v>
      </c>
      <c r="E259">
        <v>9</v>
      </c>
      <c r="F259" t="s">
        <v>222</v>
      </c>
      <c r="G259" s="4">
        <v>3.205212</v>
      </c>
      <c r="H259" s="4">
        <v>17.5</v>
      </c>
      <c r="I259" s="5">
        <v>1949</v>
      </c>
      <c r="J259" s="5">
        <v>140</v>
      </c>
      <c r="K259" t="s">
        <v>83</v>
      </c>
      <c r="L259" t="s">
        <v>83</v>
      </c>
      <c r="M259" t="s">
        <v>39</v>
      </c>
      <c r="N259" t="s">
        <v>39</v>
      </c>
      <c r="O259" t="s">
        <v>898</v>
      </c>
      <c r="P259" t="s">
        <v>56</v>
      </c>
      <c r="Q259" t="s">
        <v>199</v>
      </c>
      <c r="R259" t="s">
        <v>64</v>
      </c>
      <c r="S259" s="5">
        <v>0</v>
      </c>
      <c r="T259" s="5">
        <v>0</v>
      </c>
      <c r="U259" t="s">
        <v>57</v>
      </c>
      <c r="V259" t="s">
        <v>899</v>
      </c>
      <c r="W259" s="5"/>
      <c r="X259" s="4"/>
      <c r="Y259" s="4"/>
      <c r="Z259" s="4"/>
      <c r="AA259" s="4">
        <f t="shared" si="12"/>
        <v>1.6445418163160594</v>
      </c>
      <c r="AB259" s="6">
        <f t="shared" si="13"/>
        <v>0.18315497142857143</v>
      </c>
      <c r="AC259" s="6" t="str">
        <f t="shared" si="14"/>
        <v/>
      </c>
    </row>
    <row r="260" spans="1:29">
      <c r="A260" t="s">
        <v>900</v>
      </c>
      <c r="B260" t="s">
        <v>901</v>
      </c>
      <c r="C260" s="3">
        <v>45555</v>
      </c>
      <c r="D260">
        <v>2024</v>
      </c>
      <c r="E260">
        <v>9</v>
      </c>
      <c r="F260" t="s">
        <v>222</v>
      </c>
      <c r="G260" s="4">
        <v>24.613969999999998</v>
      </c>
      <c r="H260" s="4">
        <v>75</v>
      </c>
      <c r="I260" s="5">
        <v>3978</v>
      </c>
      <c r="J260" s="5">
        <v>104</v>
      </c>
      <c r="K260" t="s">
        <v>48</v>
      </c>
      <c r="L260" t="s">
        <v>49</v>
      </c>
      <c r="M260" t="s">
        <v>72</v>
      </c>
      <c r="N260" t="s">
        <v>72</v>
      </c>
      <c r="O260" t="s">
        <v>95</v>
      </c>
      <c r="P260" t="s">
        <v>96</v>
      </c>
      <c r="Q260" t="s">
        <v>42</v>
      </c>
      <c r="R260" t="s">
        <v>43</v>
      </c>
      <c r="S260" s="5">
        <v>0</v>
      </c>
      <c r="T260" s="5">
        <v>0</v>
      </c>
      <c r="U260" t="s">
        <v>57</v>
      </c>
      <c r="V260" t="s">
        <v>902</v>
      </c>
      <c r="W260" s="5"/>
      <c r="X260" s="4"/>
      <c r="Y260" s="4"/>
      <c r="Z260" s="4"/>
      <c r="AA260" s="4">
        <f t="shared" si="12"/>
        <v>6.1875238813474098</v>
      </c>
      <c r="AB260" s="6">
        <f t="shared" si="13"/>
        <v>0.32818626666666667</v>
      </c>
      <c r="AC260" s="6" t="str">
        <f t="shared" si="14"/>
        <v/>
      </c>
    </row>
    <row r="261" spans="1:29">
      <c r="A261" t="s">
        <v>903</v>
      </c>
      <c r="B261" t="s">
        <v>904</v>
      </c>
      <c r="C261" s="3">
        <v>45562</v>
      </c>
      <c r="D261">
        <v>2024</v>
      </c>
      <c r="E261">
        <v>9</v>
      </c>
      <c r="F261" t="s">
        <v>222</v>
      </c>
      <c r="G261" s="4">
        <v>5.6</v>
      </c>
      <c r="H261" s="4">
        <v>75</v>
      </c>
      <c r="I261" s="5">
        <v>1040</v>
      </c>
      <c r="J261" s="5">
        <v>178</v>
      </c>
      <c r="M261" t="s">
        <v>61</v>
      </c>
      <c r="N261" t="s">
        <v>61</v>
      </c>
      <c r="O261" t="s">
        <v>905</v>
      </c>
      <c r="P261" t="s">
        <v>56</v>
      </c>
      <c r="Q261" t="s">
        <v>906</v>
      </c>
      <c r="R261" t="s">
        <v>64</v>
      </c>
      <c r="S261" s="5">
        <v>0</v>
      </c>
      <c r="T261" s="5">
        <v>0</v>
      </c>
      <c r="U261" t="s">
        <v>57</v>
      </c>
      <c r="V261" t="s">
        <v>907</v>
      </c>
      <c r="W261" s="5"/>
      <c r="X261" s="4"/>
      <c r="Y261" s="4"/>
      <c r="Z261" s="4"/>
      <c r="AA261" s="4">
        <f t="shared" si="12"/>
        <v>5.384615384615385</v>
      </c>
      <c r="AB261" s="6">
        <f t="shared" si="13"/>
        <v>7.4666666666666659E-2</v>
      </c>
      <c r="AC261" s="6" t="str">
        <f t="shared" si="14"/>
        <v/>
      </c>
    </row>
    <row r="262" spans="1:29">
      <c r="A262" t="s">
        <v>908</v>
      </c>
      <c r="B262" t="s">
        <v>909</v>
      </c>
      <c r="C262" s="3">
        <v>45562</v>
      </c>
      <c r="D262">
        <v>2024</v>
      </c>
      <c r="E262">
        <v>9</v>
      </c>
      <c r="F262" t="s">
        <v>222</v>
      </c>
      <c r="G262" s="4">
        <v>35.790149999999997</v>
      </c>
      <c r="H262" s="4">
        <v>78</v>
      </c>
      <c r="I262" s="5">
        <v>3962</v>
      </c>
      <c r="J262" s="5">
        <v>102</v>
      </c>
      <c r="K262" t="s">
        <v>48</v>
      </c>
      <c r="L262" t="s">
        <v>49</v>
      </c>
      <c r="M262" t="s">
        <v>72</v>
      </c>
      <c r="N262" t="s">
        <v>72</v>
      </c>
      <c r="O262" t="s">
        <v>68</v>
      </c>
      <c r="P262" t="s">
        <v>68</v>
      </c>
      <c r="Q262" t="s">
        <v>42</v>
      </c>
      <c r="R262" t="s">
        <v>43</v>
      </c>
      <c r="S262" s="5">
        <v>0</v>
      </c>
      <c r="T262" s="5">
        <v>0</v>
      </c>
      <c r="U262" t="s">
        <v>57</v>
      </c>
      <c r="V262" t="s">
        <v>910</v>
      </c>
      <c r="W262" s="5"/>
      <c r="X262" s="4"/>
      <c r="Y262" s="4"/>
      <c r="Z262" s="4"/>
      <c r="AA262" s="4">
        <f t="shared" si="12"/>
        <v>9.0333543664815732</v>
      </c>
      <c r="AB262" s="6">
        <f t="shared" si="13"/>
        <v>0.45884807692307689</v>
      </c>
      <c r="AC262" s="6" t="str">
        <f t="shared" si="14"/>
        <v/>
      </c>
    </row>
    <row r="263" spans="1:29">
      <c r="A263" t="s">
        <v>911</v>
      </c>
      <c r="B263" t="s">
        <v>912</v>
      </c>
      <c r="C263" s="3">
        <v>45569</v>
      </c>
      <c r="D263">
        <v>2024</v>
      </c>
      <c r="E263">
        <v>10</v>
      </c>
      <c r="F263" t="s">
        <v>302</v>
      </c>
      <c r="G263" s="4">
        <v>37.678466999999998</v>
      </c>
      <c r="H263" s="4">
        <v>190</v>
      </c>
      <c r="I263" s="5">
        <v>4102</v>
      </c>
      <c r="J263" s="5">
        <v>138</v>
      </c>
      <c r="K263" t="s">
        <v>83</v>
      </c>
      <c r="L263" t="s">
        <v>83</v>
      </c>
      <c r="M263" t="s">
        <v>54</v>
      </c>
      <c r="N263" t="s">
        <v>54</v>
      </c>
      <c r="O263" t="s">
        <v>140</v>
      </c>
      <c r="P263" t="s">
        <v>141</v>
      </c>
      <c r="Q263" t="s">
        <v>42</v>
      </c>
      <c r="R263" t="s">
        <v>43</v>
      </c>
      <c r="S263" s="5">
        <v>0</v>
      </c>
      <c r="T263" s="5">
        <v>0</v>
      </c>
      <c r="U263" t="s">
        <v>57</v>
      </c>
      <c r="V263" t="s">
        <v>913</v>
      </c>
      <c r="W263" s="5"/>
      <c r="X263" s="4"/>
      <c r="Y263" s="4"/>
      <c r="Z263" s="4"/>
      <c r="AA263" s="4">
        <f t="shared" si="12"/>
        <v>9.1853893222818126</v>
      </c>
      <c r="AB263" s="6">
        <f t="shared" si="13"/>
        <v>0.19830772105263156</v>
      </c>
      <c r="AC263" s="6" t="str">
        <f t="shared" si="14"/>
        <v/>
      </c>
    </row>
    <row r="264" spans="1:29">
      <c r="A264" t="s">
        <v>914</v>
      </c>
      <c r="B264" t="s">
        <v>915</v>
      </c>
      <c r="C264" s="3">
        <v>45569</v>
      </c>
      <c r="D264">
        <v>2024</v>
      </c>
      <c r="E264">
        <v>10</v>
      </c>
      <c r="F264" t="s">
        <v>302</v>
      </c>
      <c r="G264" s="4">
        <v>1.557893</v>
      </c>
      <c r="H264" s="4">
        <v>20</v>
      </c>
      <c r="I264" s="5">
        <v>1018</v>
      </c>
      <c r="J264" s="5">
        <v>120</v>
      </c>
      <c r="K264" t="s">
        <v>38</v>
      </c>
      <c r="L264" t="s">
        <v>38</v>
      </c>
      <c r="M264" t="s">
        <v>50</v>
      </c>
      <c r="N264" t="s">
        <v>50</v>
      </c>
      <c r="O264" t="s">
        <v>84</v>
      </c>
      <c r="P264" t="s">
        <v>84</v>
      </c>
      <c r="Q264" t="s">
        <v>916</v>
      </c>
      <c r="R264" t="s">
        <v>64</v>
      </c>
      <c r="S264" s="5">
        <v>0</v>
      </c>
      <c r="T264" s="5">
        <v>0</v>
      </c>
      <c r="U264" t="s">
        <v>57</v>
      </c>
      <c r="V264" t="s">
        <v>917</v>
      </c>
      <c r="W264" s="5"/>
      <c r="X264" s="4"/>
      <c r="Y264" s="4"/>
      <c r="Z264" s="4"/>
      <c r="AA264" s="4">
        <f t="shared" si="12"/>
        <v>1.5303467583497052</v>
      </c>
      <c r="AB264" s="6">
        <f t="shared" si="13"/>
        <v>7.7894649999999996E-2</v>
      </c>
      <c r="AC264" s="6" t="str">
        <f t="shared" si="14"/>
        <v/>
      </c>
    </row>
    <row r="265" spans="1:29">
      <c r="A265" t="s">
        <v>918</v>
      </c>
      <c r="B265" t="s">
        <v>919</v>
      </c>
      <c r="C265" s="3">
        <v>45576</v>
      </c>
      <c r="D265">
        <v>2024</v>
      </c>
      <c r="E265">
        <v>10</v>
      </c>
      <c r="F265" t="s">
        <v>302</v>
      </c>
      <c r="G265" s="4">
        <v>18.928113</v>
      </c>
      <c r="H265" s="4">
        <v>2</v>
      </c>
      <c r="I265" s="5">
        <v>2514</v>
      </c>
      <c r="J265" s="5">
        <v>125</v>
      </c>
      <c r="M265" t="s">
        <v>39</v>
      </c>
      <c r="N265" t="s">
        <v>39</v>
      </c>
      <c r="O265" t="s">
        <v>513</v>
      </c>
      <c r="P265" t="s">
        <v>56</v>
      </c>
      <c r="Q265" t="s">
        <v>42</v>
      </c>
      <c r="R265" t="s">
        <v>43</v>
      </c>
      <c r="S265" s="5">
        <v>0</v>
      </c>
      <c r="T265" s="5">
        <v>0</v>
      </c>
      <c r="U265" t="s">
        <v>57</v>
      </c>
      <c r="V265" t="s">
        <v>920</v>
      </c>
      <c r="W265" s="5"/>
      <c r="X265" s="4"/>
      <c r="Y265" s="4"/>
      <c r="Z265" s="4"/>
      <c r="AA265" s="4">
        <f t="shared" si="12"/>
        <v>7.5290823389021488</v>
      </c>
      <c r="AB265" s="6">
        <f t="shared" si="13"/>
        <v>9.4640564999999999</v>
      </c>
      <c r="AC265" s="6" t="str">
        <f t="shared" si="14"/>
        <v/>
      </c>
    </row>
    <row r="266" spans="1:29">
      <c r="A266" t="s">
        <v>921</v>
      </c>
      <c r="B266" t="s">
        <v>922</v>
      </c>
      <c r="C266" s="3">
        <v>45590</v>
      </c>
      <c r="D266">
        <v>2024</v>
      </c>
      <c r="E266">
        <v>10</v>
      </c>
      <c r="F266" t="s">
        <v>302</v>
      </c>
      <c r="G266" s="4">
        <v>6.6019949999999996</v>
      </c>
      <c r="H266" s="4">
        <v>20</v>
      </c>
      <c r="I266" s="5">
        <v>1753</v>
      </c>
      <c r="J266" s="5">
        <v>120</v>
      </c>
      <c r="K266" t="s">
        <v>48</v>
      </c>
      <c r="L266" t="s">
        <v>49</v>
      </c>
      <c r="M266" t="s">
        <v>54</v>
      </c>
      <c r="N266" t="s">
        <v>54</v>
      </c>
      <c r="O266" t="s">
        <v>111</v>
      </c>
      <c r="P266" t="s">
        <v>68</v>
      </c>
      <c r="Q266" t="s">
        <v>199</v>
      </c>
      <c r="R266" t="s">
        <v>64</v>
      </c>
      <c r="S266" s="5">
        <v>0</v>
      </c>
      <c r="T266" s="5">
        <v>0</v>
      </c>
      <c r="U266" t="s">
        <v>57</v>
      </c>
      <c r="V266" t="s">
        <v>923</v>
      </c>
      <c r="W266" s="5"/>
      <c r="X266" s="4"/>
      <c r="Y266" s="4"/>
      <c r="Z266" s="4"/>
      <c r="AA266" s="4">
        <f t="shared" si="12"/>
        <v>3.7661123787792357</v>
      </c>
      <c r="AB266" s="6">
        <f t="shared" si="13"/>
        <v>0.33009974999999997</v>
      </c>
      <c r="AC266" s="6" t="str">
        <f t="shared" si="14"/>
        <v/>
      </c>
    </row>
    <row r="267" spans="1:29">
      <c r="A267" t="s">
        <v>924</v>
      </c>
      <c r="B267" t="s">
        <v>925</v>
      </c>
      <c r="C267" s="3">
        <v>45597</v>
      </c>
      <c r="D267">
        <v>2024</v>
      </c>
      <c r="E267">
        <v>11</v>
      </c>
      <c r="F267" t="s">
        <v>302</v>
      </c>
      <c r="G267" s="4">
        <v>4.8751949999999997</v>
      </c>
      <c r="H267" s="4">
        <v>50</v>
      </c>
      <c r="I267" s="5">
        <v>2647</v>
      </c>
      <c r="J267" s="5">
        <v>104</v>
      </c>
      <c r="K267" t="s">
        <v>38</v>
      </c>
      <c r="L267" t="s">
        <v>38</v>
      </c>
      <c r="M267" t="s">
        <v>50</v>
      </c>
      <c r="N267" t="s">
        <v>50</v>
      </c>
      <c r="O267" t="s">
        <v>40</v>
      </c>
      <c r="P267" t="s">
        <v>41</v>
      </c>
      <c r="Q267" t="s">
        <v>42</v>
      </c>
      <c r="R267" t="s">
        <v>43</v>
      </c>
      <c r="S267" s="5">
        <v>0</v>
      </c>
      <c r="T267" s="5">
        <v>1</v>
      </c>
      <c r="U267" t="s">
        <v>57</v>
      </c>
      <c r="V267" t="s">
        <v>926</v>
      </c>
      <c r="W267" s="5"/>
      <c r="X267" s="4"/>
      <c r="Y267" s="4"/>
      <c r="Z267" s="4"/>
      <c r="AA267" s="4">
        <f t="shared" si="12"/>
        <v>1.8417812618058178</v>
      </c>
      <c r="AB267" s="6">
        <f t="shared" si="13"/>
        <v>9.7503899999999991E-2</v>
      </c>
      <c r="AC267" s="6" t="str">
        <f t="shared" si="14"/>
        <v/>
      </c>
    </row>
    <row r="268" spans="1:29">
      <c r="A268" t="s">
        <v>927</v>
      </c>
      <c r="B268" t="s">
        <v>928</v>
      </c>
      <c r="C268" s="3">
        <v>45604</v>
      </c>
      <c r="D268">
        <v>2024</v>
      </c>
      <c r="E268">
        <v>11</v>
      </c>
      <c r="F268" t="s">
        <v>302</v>
      </c>
      <c r="G268" s="4">
        <v>10.773559000000001</v>
      </c>
      <c r="H268" s="4">
        <v>20</v>
      </c>
      <c r="I268" s="5">
        <v>3020</v>
      </c>
      <c r="J268" s="5">
        <v>99</v>
      </c>
      <c r="K268" t="s">
        <v>48</v>
      </c>
      <c r="L268" t="s">
        <v>49</v>
      </c>
      <c r="M268" t="s">
        <v>94</v>
      </c>
      <c r="N268" t="s">
        <v>94</v>
      </c>
      <c r="O268" t="s">
        <v>84</v>
      </c>
      <c r="P268" t="s">
        <v>84</v>
      </c>
      <c r="Q268" t="s">
        <v>557</v>
      </c>
      <c r="R268" t="s">
        <v>64</v>
      </c>
      <c r="S268" s="5">
        <v>0</v>
      </c>
      <c r="T268" s="5">
        <v>1</v>
      </c>
      <c r="U268" t="s">
        <v>57</v>
      </c>
      <c r="V268" t="s">
        <v>929</v>
      </c>
      <c r="W268" s="5"/>
      <c r="X268" s="4"/>
      <c r="Y268" s="4"/>
      <c r="Z268" s="4"/>
      <c r="AA268" s="4">
        <f t="shared" si="12"/>
        <v>3.5674036423841065</v>
      </c>
      <c r="AB268" s="6">
        <f t="shared" si="13"/>
        <v>0.53867795000000007</v>
      </c>
      <c r="AC268" s="6" t="str">
        <f t="shared" si="14"/>
        <v/>
      </c>
    </row>
    <row r="269" spans="1:29">
      <c r="A269" t="s">
        <v>930</v>
      </c>
      <c r="B269" t="s">
        <v>931</v>
      </c>
      <c r="C269" s="3">
        <v>45618</v>
      </c>
      <c r="D269">
        <v>2024</v>
      </c>
      <c r="E269">
        <v>11</v>
      </c>
      <c r="F269" t="s">
        <v>302</v>
      </c>
      <c r="G269" s="4">
        <v>55.034714999999998</v>
      </c>
      <c r="H269" s="4">
        <v>250</v>
      </c>
      <c r="I269" s="5">
        <v>3573</v>
      </c>
      <c r="J269" s="5">
        <v>148</v>
      </c>
      <c r="K269" t="s">
        <v>83</v>
      </c>
      <c r="L269" t="s">
        <v>83</v>
      </c>
      <c r="M269" t="s">
        <v>61</v>
      </c>
      <c r="N269" t="s">
        <v>61</v>
      </c>
      <c r="O269" t="s">
        <v>95</v>
      </c>
      <c r="P269" t="s">
        <v>96</v>
      </c>
      <c r="Q269" t="s">
        <v>662</v>
      </c>
      <c r="R269" t="s">
        <v>64</v>
      </c>
      <c r="S269" s="5">
        <v>0</v>
      </c>
      <c r="T269" s="5">
        <v>1</v>
      </c>
      <c r="U269" t="s">
        <v>57</v>
      </c>
      <c r="V269" t="s">
        <v>932</v>
      </c>
      <c r="W269" s="5"/>
      <c r="X269" s="4"/>
      <c r="Y269" s="4"/>
      <c r="Z269" s="4"/>
      <c r="AA269" s="4">
        <f t="shared" si="12"/>
        <v>15.402942905121746</v>
      </c>
      <c r="AB269" s="6">
        <f t="shared" si="13"/>
        <v>0.22013885999999999</v>
      </c>
      <c r="AC269" s="6" t="str">
        <f t="shared" si="14"/>
        <v/>
      </c>
    </row>
    <row r="270" spans="1:29">
      <c r="A270" t="s">
        <v>933</v>
      </c>
      <c r="B270" t="s">
        <v>934</v>
      </c>
      <c r="C270" s="3">
        <v>45618</v>
      </c>
      <c r="D270">
        <v>2024</v>
      </c>
      <c r="E270">
        <v>11</v>
      </c>
      <c r="F270" t="s">
        <v>302</v>
      </c>
      <c r="G270" s="4">
        <v>112.50888999999999</v>
      </c>
      <c r="H270" s="4">
        <v>145</v>
      </c>
      <c r="I270" s="5">
        <v>3888</v>
      </c>
      <c r="J270" s="5">
        <v>160</v>
      </c>
      <c r="K270" t="s">
        <v>48</v>
      </c>
      <c r="L270" t="s">
        <v>49</v>
      </c>
      <c r="M270" t="s">
        <v>362</v>
      </c>
      <c r="N270" t="s">
        <v>56</v>
      </c>
      <c r="O270" t="s">
        <v>68</v>
      </c>
      <c r="P270" t="s">
        <v>68</v>
      </c>
      <c r="Q270" t="s">
        <v>42</v>
      </c>
      <c r="R270" t="s">
        <v>43</v>
      </c>
      <c r="S270" s="5">
        <v>0</v>
      </c>
      <c r="T270" s="5">
        <v>1</v>
      </c>
      <c r="U270" t="s">
        <v>57</v>
      </c>
      <c r="V270" t="s">
        <v>935</v>
      </c>
      <c r="W270" s="5"/>
      <c r="X270" s="4"/>
      <c r="Y270" s="4"/>
      <c r="Z270" s="4"/>
      <c r="AA270" s="4">
        <f t="shared" si="12"/>
        <v>28.937471707818929</v>
      </c>
      <c r="AB270" s="6">
        <f t="shared" si="13"/>
        <v>0.77592337931034483</v>
      </c>
      <c r="AC270" s="6" t="str">
        <f t="shared" si="14"/>
        <v/>
      </c>
    </row>
    <row r="271" spans="1:29">
      <c r="A271" t="s">
        <v>936</v>
      </c>
      <c r="B271" t="s">
        <v>937</v>
      </c>
      <c r="C271" s="3">
        <v>45639</v>
      </c>
      <c r="D271">
        <v>2024</v>
      </c>
      <c r="E271">
        <v>12</v>
      </c>
      <c r="F271" t="s">
        <v>302</v>
      </c>
      <c r="G271" s="4">
        <v>11.001109</v>
      </c>
      <c r="H271" s="4">
        <v>110</v>
      </c>
      <c r="I271" s="5">
        <v>3211</v>
      </c>
      <c r="J271" s="5">
        <v>127</v>
      </c>
      <c r="K271" t="s">
        <v>83</v>
      </c>
      <c r="L271" t="s">
        <v>83</v>
      </c>
      <c r="M271" t="s">
        <v>61</v>
      </c>
      <c r="N271" t="s">
        <v>61</v>
      </c>
      <c r="O271" t="s">
        <v>40</v>
      </c>
      <c r="P271" t="s">
        <v>41</v>
      </c>
      <c r="Q271" t="s">
        <v>42</v>
      </c>
      <c r="R271" t="s">
        <v>43</v>
      </c>
      <c r="S271" s="5">
        <v>0</v>
      </c>
      <c r="T271" s="5">
        <v>1</v>
      </c>
      <c r="U271" t="s">
        <v>57</v>
      </c>
      <c r="V271" t="s">
        <v>938</v>
      </c>
      <c r="W271" s="5"/>
      <c r="X271" s="4"/>
      <c r="Y271" s="4"/>
      <c r="Z271" s="4"/>
      <c r="AA271" s="4">
        <f t="shared" si="12"/>
        <v>3.4260694487698538</v>
      </c>
      <c r="AB271" s="6">
        <f t="shared" si="13"/>
        <v>0.10001008181818181</v>
      </c>
      <c r="AC271" s="6" t="str">
        <f t="shared" si="14"/>
        <v/>
      </c>
    </row>
    <row r="272" spans="1:29">
      <c r="A272" t="s">
        <v>939</v>
      </c>
      <c r="B272" t="s">
        <v>940</v>
      </c>
      <c r="C272" s="3">
        <v>45639</v>
      </c>
      <c r="D272">
        <v>2024</v>
      </c>
      <c r="E272">
        <v>12</v>
      </c>
      <c r="F272" t="s">
        <v>302</v>
      </c>
      <c r="G272" s="4">
        <v>4.5521089999999997</v>
      </c>
      <c r="H272" s="4">
        <v>30</v>
      </c>
      <c r="I272" s="5">
        <v>2602</v>
      </c>
      <c r="J272" s="5">
        <v>150</v>
      </c>
      <c r="K272" t="s">
        <v>38</v>
      </c>
      <c r="L272" t="s">
        <v>38</v>
      </c>
      <c r="M272" t="s">
        <v>72</v>
      </c>
      <c r="N272" t="s">
        <v>72</v>
      </c>
      <c r="O272" t="s">
        <v>140</v>
      </c>
      <c r="P272" t="s">
        <v>141</v>
      </c>
      <c r="Q272" t="s">
        <v>165</v>
      </c>
      <c r="R272" t="s">
        <v>64</v>
      </c>
      <c r="S272" s="5">
        <v>0</v>
      </c>
      <c r="T272" s="5">
        <v>1</v>
      </c>
      <c r="U272" t="s">
        <v>57</v>
      </c>
      <c r="V272" t="s">
        <v>941</v>
      </c>
      <c r="W272" s="5"/>
      <c r="X272" s="4"/>
      <c r="Y272" s="4"/>
      <c r="Z272" s="4"/>
      <c r="AA272" s="4">
        <f t="shared" si="12"/>
        <v>1.7494654112221366</v>
      </c>
      <c r="AB272" s="6">
        <f t="shared" si="13"/>
        <v>0.15173696666666667</v>
      </c>
      <c r="AC272" s="6" t="str">
        <f t="shared" si="14"/>
        <v/>
      </c>
    </row>
    <row r="273" spans="1:29">
      <c r="A273" t="s">
        <v>942</v>
      </c>
      <c r="B273" t="s">
        <v>943</v>
      </c>
      <c r="C273" s="3">
        <v>45646</v>
      </c>
      <c r="D273">
        <v>2024</v>
      </c>
      <c r="E273">
        <v>12</v>
      </c>
      <c r="F273" t="s">
        <v>302</v>
      </c>
      <c r="G273" s="4">
        <v>35.409365000000001</v>
      </c>
      <c r="H273" s="4">
        <v>200</v>
      </c>
      <c r="I273" s="5">
        <v>4100</v>
      </c>
      <c r="J273" s="5">
        <v>118</v>
      </c>
      <c r="K273" t="s">
        <v>48</v>
      </c>
      <c r="L273" t="s">
        <v>49</v>
      </c>
      <c r="M273" t="s">
        <v>362</v>
      </c>
      <c r="N273" t="s">
        <v>56</v>
      </c>
      <c r="O273" t="s">
        <v>107</v>
      </c>
      <c r="P273" t="s">
        <v>74</v>
      </c>
      <c r="Q273" t="s">
        <v>42</v>
      </c>
      <c r="R273" t="s">
        <v>43</v>
      </c>
      <c r="S273" s="5">
        <v>0</v>
      </c>
      <c r="T273" s="5">
        <v>1</v>
      </c>
      <c r="U273" t="s">
        <v>57</v>
      </c>
      <c r="V273" t="s">
        <v>944</v>
      </c>
      <c r="W273" s="5"/>
      <c r="X273" s="4"/>
      <c r="Y273" s="4"/>
      <c r="Z273" s="4"/>
      <c r="AA273" s="4">
        <f t="shared" si="12"/>
        <v>8.6364304878048781</v>
      </c>
      <c r="AB273" s="6">
        <f t="shared" si="13"/>
        <v>0.17704682500000002</v>
      </c>
      <c r="AC273" s="6" t="str">
        <f t="shared" si="14"/>
        <v/>
      </c>
    </row>
    <row r="274" spans="1:29">
      <c r="A274" t="s">
        <v>945</v>
      </c>
      <c r="B274" t="s">
        <v>946</v>
      </c>
      <c r="C274" s="3">
        <v>45646</v>
      </c>
      <c r="D274">
        <v>2024</v>
      </c>
      <c r="E274">
        <v>12</v>
      </c>
      <c r="F274" t="s">
        <v>302</v>
      </c>
      <c r="G274" s="4">
        <v>60.102145999999998</v>
      </c>
      <c r="H274" s="4">
        <v>122</v>
      </c>
      <c r="I274" s="5">
        <v>3761</v>
      </c>
      <c r="J274" s="5">
        <v>109</v>
      </c>
      <c r="K274" t="s">
        <v>48</v>
      </c>
      <c r="L274" t="s">
        <v>49</v>
      </c>
      <c r="M274" t="s">
        <v>72</v>
      </c>
      <c r="N274" t="s">
        <v>72</v>
      </c>
      <c r="O274" t="s">
        <v>95</v>
      </c>
      <c r="P274" t="s">
        <v>96</v>
      </c>
      <c r="Q274" t="s">
        <v>165</v>
      </c>
      <c r="R274" t="s">
        <v>64</v>
      </c>
      <c r="S274" s="5">
        <v>0</v>
      </c>
      <c r="T274" s="5">
        <v>1</v>
      </c>
      <c r="U274" t="s">
        <v>57</v>
      </c>
      <c r="V274" t="s">
        <v>947</v>
      </c>
      <c r="W274" s="5"/>
      <c r="X274" s="4"/>
      <c r="Y274" s="4"/>
      <c r="Z274" s="4"/>
      <c r="AA274" s="4">
        <f t="shared" si="12"/>
        <v>15.980363201276257</v>
      </c>
      <c r="AB274" s="6">
        <f t="shared" si="13"/>
        <v>0.49264054098360655</v>
      </c>
      <c r="AC274" s="6" t="str">
        <f t="shared" si="14"/>
        <v/>
      </c>
    </row>
    <row r="275" spans="1:29">
      <c r="A275" t="s">
        <v>948</v>
      </c>
      <c r="B275" t="s">
        <v>949</v>
      </c>
      <c r="C275" s="3">
        <v>45651</v>
      </c>
      <c r="D275">
        <v>2024</v>
      </c>
      <c r="E275">
        <v>12</v>
      </c>
      <c r="F275" t="s">
        <v>302</v>
      </c>
      <c r="G275" s="4">
        <v>4.4901450000000001</v>
      </c>
      <c r="H275" s="4">
        <v>20</v>
      </c>
      <c r="I275" s="5">
        <v>2115</v>
      </c>
      <c r="J275" s="5">
        <v>114</v>
      </c>
      <c r="K275" t="s">
        <v>83</v>
      </c>
      <c r="L275" t="s">
        <v>83</v>
      </c>
      <c r="M275" t="s">
        <v>54</v>
      </c>
      <c r="N275" t="s">
        <v>54</v>
      </c>
      <c r="O275" t="s">
        <v>226</v>
      </c>
      <c r="P275" t="s">
        <v>56</v>
      </c>
      <c r="Q275" t="s">
        <v>42</v>
      </c>
      <c r="R275" t="s">
        <v>43</v>
      </c>
      <c r="S275" s="5">
        <v>0</v>
      </c>
      <c r="T275" s="5">
        <v>1</v>
      </c>
      <c r="U275" t="s">
        <v>57</v>
      </c>
      <c r="V275" t="s">
        <v>950</v>
      </c>
      <c r="W275" s="5"/>
      <c r="X275" s="4"/>
      <c r="Y275" s="4"/>
      <c r="Z275" s="4"/>
      <c r="AA275" s="4">
        <f t="shared" si="12"/>
        <v>2.1230000000000002</v>
      </c>
      <c r="AB275" s="6">
        <f t="shared" si="13"/>
        <v>0.22450724999999999</v>
      </c>
      <c r="AC275" s="6" t="str">
        <f t="shared" si="14"/>
        <v/>
      </c>
    </row>
    <row r="276" spans="1:29">
      <c r="A276" t="s">
        <v>951</v>
      </c>
      <c r="B276" t="s">
        <v>952</v>
      </c>
      <c r="C276" s="3">
        <v>45651</v>
      </c>
      <c r="D276">
        <v>2024</v>
      </c>
      <c r="E276">
        <v>12</v>
      </c>
      <c r="F276" t="s">
        <v>302</v>
      </c>
      <c r="G276" s="4">
        <v>21.652560000000001</v>
      </c>
      <c r="H276" s="4">
        <v>50</v>
      </c>
      <c r="I276" s="5">
        <v>2992</v>
      </c>
      <c r="J276" s="5">
        <v>132</v>
      </c>
      <c r="K276" t="s">
        <v>83</v>
      </c>
      <c r="L276" t="s">
        <v>83</v>
      </c>
      <c r="M276" t="s">
        <v>39</v>
      </c>
      <c r="N276" t="s">
        <v>39</v>
      </c>
      <c r="O276" t="s">
        <v>111</v>
      </c>
      <c r="P276" t="s">
        <v>68</v>
      </c>
      <c r="Q276" t="s">
        <v>953</v>
      </c>
      <c r="R276" t="s">
        <v>64</v>
      </c>
      <c r="S276" s="5">
        <v>0</v>
      </c>
      <c r="T276" s="5">
        <v>1</v>
      </c>
      <c r="U276" t="s">
        <v>57</v>
      </c>
      <c r="V276" t="s">
        <v>954</v>
      </c>
      <c r="W276" s="5"/>
      <c r="X276" s="4"/>
      <c r="Y276" s="4"/>
      <c r="Z276" s="4"/>
      <c r="AA276" s="4">
        <f t="shared" si="12"/>
        <v>7.2368181818181823</v>
      </c>
      <c r="AB276" s="6">
        <f t="shared" si="13"/>
        <v>0.43305120000000003</v>
      </c>
      <c r="AC276" s="6" t="str">
        <f t="shared" si="14"/>
        <v/>
      </c>
    </row>
    <row r="277" spans="1:29">
      <c r="A277" t="s">
        <v>955</v>
      </c>
      <c r="B277" t="s">
        <v>956</v>
      </c>
      <c r="C277" s="3">
        <v>45667</v>
      </c>
      <c r="D277">
        <v>2025</v>
      </c>
      <c r="E277">
        <v>1</v>
      </c>
      <c r="F277" t="s">
        <v>37</v>
      </c>
      <c r="G277" s="4">
        <v>15.022909</v>
      </c>
      <c r="H277" s="4">
        <v>40</v>
      </c>
      <c r="I277" s="5">
        <v>3008</v>
      </c>
      <c r="J277" s="5">
        <v>144</v>
      </c>
      <c r="K277" t="s">
        <v>83</v>
      </c>
      <c r="L277" t="s">
        <v>83</v>
      </c>
      <c r="M277" t="s">
        <v>61</v>
      </c>
      <c r="N277" t="s">
        <v>61</v>
      </c>
      <c r="O277" t="s">
        <v>84</v>
      </c>
      <c r="P277" t="s">
        <v>84</v>
      </c>
      <c r="Q277" t="s">
        <v>42</v>
      </c>
      <c r="R277" t="s">
        <v>43</v>
      </c>
      <c r="S277" s="5">
        <v>0</v>
      </c>
      <c r="T277" s="5">
        <v>0</v>
      </c>
      <c r="U277" t="s">
        <v>57</v>
      </c>
      <c r="V277" t="s">
        <v>957</v>
      </c>
      <c r="W277" s="5"/>
      <c r="X277" s="4"/>
      <c r="Y277" s="4"/>
      <c r="Z277" s="4"/>
      <c r="AA277" s="4">
        <f t="shared" si="12"/>
        <v>4.9943181515957447</v>
      </c>
      <c r="AB277" s="6">
        <f t="shared" si="13"/>
        <v>0.375572725</v>
      </c>
      <c r="AC277" s="6" t="str">
        <f t="shared" si="14"/>
        <v/>
      </c>
    </row>
    <row r="278" spans="1:29">
      <c r="A278" t="s">
        <v>958</v>
      </c>
      <c r="B278" t="s">
        <v>959</v>
      </c>
      <c r="C278" s="3">
        <v>45674</v>
      </c>
      <c r="D278">
        <v>2025</v>
      </c>
      <c r="E278">
        <v>1</v>
      </c>
      <c r="F278" t="s">
        <v>37</v>
      </c>
      <c r="G278" s="4">
        <v>11.807731</v>
      </c>
      <c r="H278" s="4">
        <v>14</v>
      </c>
      <c r="I278" s="5">
        <v>2675</v>
      </c>
      <c r="J278" s="5">
        <v>97</v>
      </c>
      <c r="K278" t="s">
        <v>83</v>
      </c>
      <c r="L278" t="s">
        <v>83</v>
      </c>
      <c r="M278" t="s">
        <v>94</v>
      </c>
      <c r="N278" t="s">
        <v>94</v>
      </c>
      <c r="O278" t="s">
        <v>40</v>
      </c>
      <c r="P278" t="s">
        <v>41</v>
      </c>
      <c r="Q278" t="s">
        <v>42</v>
      </c>
      <c r="R278" t="s">
        <v>43</v>
      </c>
      <c r="S278" s="5">
        <v>0</v>
      </c>
      <c r="T278" s="5">
        <v>0</v>
      </c>
      <c r="U278" t="s">
        <v>57</v>
      </c>
      <c r="V278" t="s">
        <v>960</v>
      </c>
      <c r="W278" s="5"/>
      <c r="X278" s="4"/>
      <c r="Y278" s="4"/>
      <c r="Z278" s="4"/>
      <c r="AA278" s="4">
        <f t="shared" si="12"/>
        <v>4.414105046728972</v>
      </c>
      <c r="AB278" s="6">
        <f t="shared" si="13"/>
        <v>0.84340935714285714</v>
      </c>
      <c r="AC278" s="6" t="str">
        <f t="shared" si="14"/>
        <v/>
      </c>
    </row>
    <row r="279" spans="1:29">
      <c r="A279" t="s">
        <v>961</v>
      </c>
      <c r="B279" t="s">
        <v>962</v>
      </c>
      <c r="C279" s="3">
        <v>45674</v>
      </c>
      <c r="D279">
        <v>2025</v>
      </c>
      <c r="E279">
        <v>1</v>
      </c>
      <c r="F279" t="s">
        <v>37</v>
      </c>
      <c r="G279" s="4">
        <v>10.897494999999999</v>
      </c>
      <c r="H279" s="4">
        <v>25</v>
      </c>
      <c r="I279" s="5">
        <v>3354</v>
      </c>
      <c r="J279" s="5">
        <v>103</v>
      </c>
      <c r="K279" t="s">
        <v>83</v>
      </c>
      <c r="L279" t="s">
        <v>83</v>
      </c>
      <c r="M279" t="s">
        <v>39</v>
      </c>
      <c r="N279" t="s">
        <v>39</v>
      </c>
      <c r="O279" t="s">
        <v>68</v>
      </c>
      <c r="P279" t="s">
        <v>68</v>
      </c>
      <c r="Q279" t="s">
        <v>42</v>
      </c>
      <c r="R279" t="s">
        <v>43</v>
      </c>
      <c r="S279" s="5">
        <v>0</v>
      </c>
      <c r="T279" s="5">
        <v>0</v>
      </c>
      <c r="U279" t="s">
        <v>57</v>
      </c>
      <c r="V279" t="s">
        <v>963</v>
      </c>
      <c r="W279" s="5"/>
      <c r="X279" s="4"/>
      <c r="Y279" s="4"/>
      <c r="Z279" s="4"/>
      <c r="AA279" s="4">
        <f t="shared" si="12"/>
        <v>3.2491040548598686</v>
      </c>
      <c r="AB279" s="6">
        <f t="shared" si="13"/>
        <v>0.43589979999999995</v>
      </c>
      <c r="AC279" s="6" t="str">
        <f t="shared" si="14"/>
        <v/>
      </c>
    </row>
    <row r="280" spans="1:29">
      <c r="A280" t="s">
        <v>964</v>
      </c>
      <c r="B280" t="s">
        <v>965</v>
      </c>
      <c r="C280" s="3">
        <v>45681</v>
      </c>
      <c r="D280">
        <v>2025</v>
      </c>
      <c r="E280">
        <v>1</v>
      </c>
      <c r="F280" t="s">
        <v>37</v>
      </c>
      <c r="G280" s="4">
        <v>11.583487999999999</v>
      </c>
      <c r="H280" s="4">
        <v>25</v>
      </c>
      <c r="I280" s="5">
        <v>3161</v>
      </c>
      <c r="J280" s="5">
        <v>91</v>
      </c>
      <c r="K280" t="s">
        <v>83</v>
      </c>
      <c r="L280" t="s">
        <v>83</v>
      </c>
      <c r="M280" t="s">
        <v>54</v>
      </c>
      <c r="N280" t="s">
        <v>54</v>
      </c>
      <c r="O280" t="s">
        <v>84</v>
      </c>
      <c r="P280" t="s">
        <v>84</v>
      </c>
      <c r="Q280" t="s">
        <v>42</v>
      </c>
      <c r="R280" t="s">
        <v>43</v>
      </c>
      <c r="S280" s="5">
        <v>0</v>
      </c>
      <c r="T280" s="5">
        <v>0</v>
      </c>
      <c r="U280" t="s">
        <v>57</v>
      </c>
      <c r="V280" t="s">
        <v>966</v>
      </c>
      <c r="W280" s="5"/>
      <c r="X280" s="4"/>
      <c r="Y280" s="4"/>
      <c r="Z280" s="4"/>
      <c r="AA280" s="4">
        <f t="shared" si="12"/>
        <v>3.6645011072445426</v>
      </c>
      <c r="AB280" s="6">
        <f t="shared" si="13"/>
        <v>0.46333951999999995</v>
      </c>
      <c r="AC280" s="6" t="str">
        <f t="shared" si="14"/>
        <v/>
      </c>
    </row>
    <row r="281" spans="1:29">
      <c r="A281" t="s">
        <v>967</v>
      </c>
      <c r="B281" t="s">
        <v>968</v>
      </c>
      <c r="C281" s="3">
        <v>45681</v>
      </c>
      <c r="D281">
        <v>2025</v>
      </c>
      <c r="E281">
        <v>1</v>
      </c>
      <c r="F281" t="s">
        <v>37</v>
      </c>
      <c r="G281" s="4">
        <v>3.328004</v>
      </c>
      <c r="H281" s="4">
        <v>2</v>
      </c>
      <c r="I281" s="5">
        <v>1750</v>
      </c>
      <c r="J281" s="5">
        <v>85</v>
      </c>
      <c r="K281" t="s">
        <v>83</v>
      </c>
      <c r="L281" t="s">
        <v>83</v>
      </c>
      <c r="M281" t="s">
        <v>39</v>
      </c>
      <c r="N281" t="s">
        <v>39</v>
      </c>
      <c r="O281" t="s">
        <v>128</v>
      </c>
      <c r="P281" t="s">
        <v>56</v>
      </c>
      <c r="Q281" t="s">
        <v>42</v>
      </c>
      <c r="R281" t="s">
        <v>43</v>
      </c>
      <c r="S281" s="5">
        <v>0</v>
      </c>
      <c r="T281" s="5">
        <v>0</v>
      </c>
      <c r="U281" t="s">
        <v>57</v>
      </c>
      <c r="V281" t="s">
        <v>969</v>
      </c>
      <c r="W281" s="5"/>
      <c r="X281" s="4"/>
      <c r="Y281" s="4"/>
      <c r="Z281" s="4"/>
      <c r="AA281" s="4">
        <f t="shared" si="12"/>
        <v>1.9017165714285713</v>
      </c>
      <c r="AB281" s="6">
        <f t="shared" si="13"/>
        <v>1.664002</v>
      </c>
      <c r="AC281" s="6" t="str">
        <f t="shared" si="14"/>
        <v/>
      </c>
    </row>
    <row r="282" spans="1:29">
      <c r="A282" t="s">
        <v>970</v>
      </c>
      <c r="B282" t="s">
        <v>971</v>
      </c>
      <c r="C282" s="3">
        <v>45688</v>
      </c>
      <c r="D282">
        <v>2025</v>
      </c>
      <c r="E282">
        <v>1</v>
      </c>
      <c r="F282" t="s">
        <v>37</v>
      </c>
      <c r="G282" s="4">
        <v>9.3001129999999996</v>
      </c>
      <c r="H282" s="4">
        <v>10</v>
      </c>
      <c r="I282" s="5">
        <v>3285</v>
      </c>
      <c r="J282" s="5">
        <v>97</v>
      </c>
      <c r="K282" t="s">
        <v>83</v>
      </c>
      <c r="L282" t="s">
        <v>83</v>
      </c>
      <c r="M282" t="s">
        <v>268</v>
      </c>
      <c r="N282" t="s">
        <v>94</v>
      </c>
      <c r="O282" t="s">
        <v>140</v>
      </c>
      <c r="P282" t="s">
        <v>141</v>
      </c>
      <c r="Q282" t="s">
        <v>42</v>
      </c>
      <c r="R282" t="s">
        <v>43</v>
      </c>
      <c r="S282" s="5">
        <v>0</v>
      </c>
      <c r="T282" s="5">
        <v>0</v>
      </c>
      <c r="U282" t="s">
        <v>57</v>
      </c>
      <c r="V282" t="s">
        <v>972</v>
      </c>
      <c r="W282" s="5"/>
      <c r="X282" s="4"/>
      <c r="Y282" s="4"/>
      <c r="Z282" s="4"/>
      <c r="AA282" s="4">
        <f t="shared" si="12"/>
        <v>2.8310846270928463</v>
      </c>
      <c r="AB282" s="6">
        <f t="shared" si="13"/>
        <v>0.93001129999999999</v>
      </c>
      <c r="AC282" s="6" t="str">
        <f t="shared" si="14"/>
        <v/>
      </c>
    </row>
    <row r="283" spans="1:29">
      <c r="A283" t="s">
        <v>973</v>
      </c>
      <c r="B283" t="s">
        <v>974</v>
      </c>
      <c r="C283" s="3">
        <v>45688</v>
      </c>
      <c r="D283">
        <v>2025</v>
      </c>
      <c r="E283">
        <v>1</v>
      </c>
      <c r="F283" t="s">
        <v>37</v>
      </c>
      <c r="G283" s="4">
        <v>36.001939999999998</v>
      </c>
      <c r="H283" s="4">
        <v>40</v>
      </c>
      <c r="I283" s="5">
        <v>3885</v>
      </c>
      <c r="J283" s="5">
        <v>89</v>
      </c>
      <c r="K283" t="s">
        <v>48</v>
      </c>
      <c r="L283" t="s">
        <v>49</v>
      </c>
      <c r="M283" t="s">
        <v>72</v>
      </c>
      <c r="N283" t="s">
        <v>72</v>
      </c>
      <c r="O283" t="s">
        <v>68</v>
      </c>
      <c r="P283" t="s">
        <v>68</v>
      </c>
      <c r="Q283" t="s">
        <v>42</v>
      </c>
      <c r="R283" t="s">
        <v>43</v>
      </c>
      <c r="S283" s="5">
        <v>0</v>
      </c>
      <c r="T283" s="5">
        <v>0</v>
      </c>
      <c r="U283" t="s">
        <v>57</v>
      </c>
      <c r="V283" t="s">
        <v>975</v>
      </c>
      <c r="W283" s="5"/>
      <c r="X283" s="4"/>
      <c r="Y283" s="4"/>
      <c r="Z283" s="4"/>
      <c r="AA283" s="4">
        <f t="shared" si="12"/>
        <v>9.2669086229086215</v>
      </c>
      <c r="AB283" s="6">
        <f t="shared" si="13"/>
        <v>0.90004849999999992</v>
      </c>
      <c r="AC283" s="6" t="str">
        <f t="shared" si="14"/>
        <v/>
      </c>
    </row>
    <row r="284" spans="1:29">
      <c r="A284" t="s">
        <v>976</v>
      </c>
      <c r="B284" t="s">
        <v>977</v>
      </c>
      <c r="C284" s="3">
        <v>45695</v>
      </c>
      <c r="D284">
        <v>2025</v>
      </c>
      <c r="E284">
        <v>2</v>
      </c>
      <c r="F284" t="s">
        <v>37</v>
      </c>
      <c r="G284" s="4">
        <v>8.3051560000000002</v>
      </c>
      <c r="H284" s="4">
        <v>18</v>
      </c>
      <c r="I284" s="5">
        <v>3102</v>
      </c>
      <c r="J284" s="5">
        <v>90</v>
      </c>
      <c r="K284" t="s">
        <v>83</v>
      </c>
      <c r="L284" t="s">
        <v>83</v>
      </c>
      <c r="M284" t="s">
        <v>39</v>
      </c>
      <c r="N284" t="s">
        <v>39</v>
      </c>
      <c r="O284" t="s">
        <v>40</v>
      </c>
      <c r="P284" t="s">
        <v>41</v>
      </c>
      <c r="Q284" t="s">
        <v>978</v>
      </c>
      <c r="R284" t="s">
        <v>64</v>
      </c>
      <c r="S284" s="5">
        <v>0</v>
      </c>
      <c r="T284" s="5">
        <v>0</v>
      </c>
      <c r="U284" t="s">
        <v>57</v>
      </c>
      <c r="V284" t="s">
        <v>979</v>
      </c>
      <c r="W284" s="5"/>
      <c r="X284" s="4"/>
      <c r="Y284" s="4"/>
      <c r="Z284" s="4"/>
      <c r="AA284" s="4">
        <f t="shared" si="12"/>
        <v>2.6773552546744037</v>
      </c>
      <c r="AB284" s="6">
        <f t="shared" si="13"/>
        <v>0.46139755555555556</v>
      </c>
      <c r="AC284" s="6" t="str">
        <f t="shared" si="14"/>
        <v/>
      </c>
    </row>
    <row r="285" spans="1:29">
      <c r="A285" t="s">
        <v>980</v>
      </c>
      <c r="B285" t="s">
        <v>981</v>
      </c>
      <c r="C285" s="3">
        <v>45702</v>
      </c>
      <c r="D285">
        <v>2025</v>
      </c>
      <c r="E285">
        <v>2</v>
      </c>
      <c r="F285" t="s">
        <v>37</v>
      </c>
      <c r="G285" s="4">
        <v>88.842602999999997</v>
      </c>
      <c r="H285" s="4">
        <v>180</v>
      </c>
      <c r="I285" s="5">
        <v>4105</v>
      </c>
      <c r="J285" s="5">
        <v>118</v>
      </c>
      <c r="K285" t="s">
        <v>38</v>
      </c>
      <c r="L285" t="s">
        <v>38</v>
      </c>
      <c r="M285" t="s">
        <v>61</v>
      </c>
      <c r="N285" t="s">
        <v>61</v>
      </c>
      <c r="O285" t="s">
        <v>107</v>
      </c>
      <c r="P285" t="s">
        <v>74</v>
      </c>
      <c r="Q285" t="s">
        <v>42</v>
      </c>
      <c r="R285" t="s">
        <v>43</v>
      </c>
      <c r="S285" s="5">
        <v>0</v>
      </c>
      <c r="T285" s="5">
        <v>0</v>
      </c>
      <c r="U285" t="s">
        <v>57</v>
      </c>
      <c r="V285" t="s">
        <v>982</v>
      </c>
      <c r="W285" s="5"/>
      <c r="X285" s="4"/>
      <c r="Y285" s="4"/>
      <c r="Z285" s="4"/>
      <c r="AA285" s="4">
        <f t="shared" si="12"/>
        <v>21.642534226552986</v>
      </c>
      <c r="AB285" s="6">
        <f t="shared" si="13"/>
        <v>0.49357001666666667</v>
      </c>
      <c r="AC285" s="6" t="str">
        <f t="shared" si="14"/>
        <v/>
      </c>
    </row>
    <row r="286" spans="1:29">
      <c r="A286" t="s">
        <v>983</v>
      </c>
      <c r="B286" t="s">
        <v>984</v>
      </c>
      <c r="C286" s="3">
        <v>45702</v>
      </c>
      <c r="D286">
        <v>2025</v>
      </c>
      <c r="E286">
        <v>2</v>
      </c>
      <c r="F286" t="s">
        <v>37</v>
      </c>
      <c r="G286" s="4">
        <v>7.2</v>
      </c>
      <c r="H286" s="4">
        <v>80</v>
      </c>
      <c r="I286" s="5">
        <v>660</v>
      </c>
      <c r="J286" s="5">
        <v>143</v>
      </c>
      <c r="M286" t="s">
        <v>61</v>
      </c>
      <c r="N286" t="s">
        <v>61</v>
      </c>
      <c r="O286" t="s">
        <v>985</v>
      </c>
      <c r="P286" t="s">
        <v>56</v>
      </c>
      <c r="Q286" t="s">
        <v>986</v>
      </c>
      <c r="R286" t="s">
        <v>64</v>
      </c>
      <c r="S286" s="5">
        <v>0</v>
      </c>
      <c r="T286" s="5">
        <v>0</v>
      </c>
      <c r="U286" t="s">
        <v>57</v>
      </c>
      <c r="V286" t="s">
        <v>987</v>
      </c>
      <c r="W286" s="5"/>
      <c r="X286" s="4"/>
      <c r="Y286" s="4"/>
      <c r="Z286" s="4"/>
      <c r="AA286" s="4">
        <f t="shared" si="12"/>
        <v>10.909090909090908</v>
      </c>
      <c r="AB286" s="6">
        <f t="shared" si="13"/>
        <v>0.09</v>
      </c>
      <c r="AC286" s="6" t="str">
        <f t="shared" si="14"/>
        <v/>
      </c>
    </row>
    <row r="287" spans="1:29">
      <c r="A287" t="s">
        <v>988</v>
      </c>
      <c r="B287" t="s">
        <v>989</v>
      </c>
      <c r="C287" s="3">
        <v>45702</v>
      </c>
      <c r="D287">
        <v>2025</v>
      </c>
      <c r="E287">
        <v>2</v>
      </c>
      <c r="F287" t="s">
        <v>37</v>
      </c>
      <c r="G287" s="4">
        <v>12.761398</v>
      </c>
      <c r="H287" s="4">
        <v>75.336729000000005</v>
      </c>
      <c r="I287" s="5">
        <v>3890</v>
      </c>
      <c r="J287" s="5">
        <v>106</v>
      </c>
      <c r="K287" t="s">
        <v>48</v>
      </c>
      <c r="L287" t="s">
        <v>49</v>
      </c>
      <c r="M287" t="s">
        <v>72</v>
      </c>
      <c r="N287" t="s">
        <v>72</v>
      </c>
      <c r="O287" t="s">
        <v>40</v>
      </c>
      <c r="P287" t="s">
        <v>41</v>
      </c>
      <c r="Q287" t="s">
        <v>990</v>
      </c>
      <c r="R287" t="s">
        <v>64</v>
      </c>
      <c r="S287" s="5">
        <v>0</v>
      </c>
      <c r="T287" s="5">
        <v>0</v>
      </c>
      <c r="U287" t="s">
        <v>57</v>
      </c>
      <c r="V287" t="s">
        <v>991</v>
      </c>
      <c r="W287" s="5"/>
      <c r="X287" s="4"/>
      <c r="Y287" s="4"/>
      <c r="Z287" s="4"/>
      <c r="AA287" s="4">
        <f t="shared" si="12"/>
        <v>3.280565038560411</v>
      </c>
      <c r="AB287" s="6">
        <f t="shared" si="13"/>
        <v>0.169391453138349</v>
      </c>
      <c r="AC287" s="6" t="str">
        <f t="shared" si="14"/>
        <v/>
      </c>
    </row>
    <row r="288" spans="1:29">
      <c r="A288" t="s">
        <v>992</v>
      </c>
      <c r="B288" t="s">
        <v>993</v>
      </c>
      <c r="C288" s="3">
        <v>45716</v>
      </c>
      <c r="D288">
        <v>2025</v>
      </c>
      <c r="E288">
        <v>2</v>
      </c>
      <c r="F288" t="s">
        <v>37</v>
      </c>
      <c r="G288" s="4">
        <v>7.8511899999999999</v>
      </c>
      <c r="H288" s="4">
        <v>23.8</v>
      </c>
      <c r="I288" s="5">
        <v>3018</v>
      </c>
      <c r="J288" s="5">
        <v>96</v>
      </c>
      <c r="K288" t="s">
        <v>38</v>
      </c>
      <c r="L288" t="s">
        <v>38</v>
      </c>
      <c r="M288" t="s">
        <v>54</v>
      </c>
      <c r="N288" t="s">
        <v>54</v>
      </c>
      <c r="O288" t="s">
        <v>111</v>
      </c>
      <c r="P288" t="s">
        <v>68</v>
      </c>
      <c r="Q288" t="s">
        <v>75</v>
      </c>
      <c r="R288" t="s">
        <v>64</v>
      </c>
      <c r="S288" s="5">
        <v>0</v>
      </c>
      <c r="T288" s="5">
        <v>0</v>
      </c>
      <c r="U288" t="s">
        <v>57</v>
      </c>
      <c r="V288" t="s">
        <v>994</v>
      </c>
      <c r="W288" s="5"/>
      <c r="X288" s="4"/>
      <c r="Y288" s="4"/>
      <c r="Z288" s="4"/>
      <c r="AA288" s="4">
        <f t="shared" si="12"/>
        <v>2.6014546056991383</v>
      </c>
      <c r="AB288" s="6">
        <f t="shared" si="13"/>
        <v>0.32988193277310923</v>
      </c>
      <c r="AC288" s="6" t="str">
        <f t="shared" si="14"/>
        <v/>
      </c>
    </row>
    <row r="289" spans="1:29">
      <c r="A289" t="s">
        <v>995</v>
      </c>
      <c r="B289" t="s">
        <v>996</v>
      </c>
      <c r="C289" s="3">
        <v>45723</v>
      </c>
      <c r="D289">
        <v>2025</v>
      </c>
      <c r="E289">
        <v>3</v>
      </c>
      <c r="F289" t="s">
        <v>37</v>
      </c>
      <c r="G289" s="4">
        <v>19.002852000000001</v>
      </c>
      <c r="H289" s="4">
        <v>118</v>
      </c>
      <c r="I289" s="5">
        <v>3807</v>
      </c>
      <c r="J289" s="5">
        <v>139</v>
      </c>
      <c r="K289" t="s">
        <v>83</v>
      </c>
      <c r="L289" t="s">
        <v>83</v>
      </c>
      <c r="M289" t="s">
        <v>268</v>
      </c>
      <c r="N289" t="s">
        <v>94</v>
      </c>
      <c r="O289" t="s">
        <v>140</v>
      </c>
      <c r="P289" t="s">
        <v>141</v>
      </c>
      <c r="Q289" t="s">
        <v>42</v>
      </c>
      <c r="R289" t="s">
        <v>43</v>
      </c>
      <c r="S289" s="5">
        <v>0</v>
      </c>
      <c r="T289" s="5">
        <v>0</v>
      </c>
      <c r="U289" t="s">
        <v>57</v>
      </c>
      <c r="V289" t="s">
        <v>997</v>
      </c>
      <c r="W289" s="5"/>
      <c r="X289" s="4"/>
      <c r="Y289" s="4"/>
      <c r="Z289" s="4"/>
      <c r="AA289" s="4">
        <f t="shared" si="12"/>
        <v>4.9915555555555553</v>
      </c>
      <c r="AB289" s="6">
        <f t="shared" si="13"/>
        <v>0.16104111864406781</v>
      </c>
      <c r="AC289" s="6" t="str">
        <f t="shared" si="14"/>
        <v/>
      </c>
    </row>
    <row r="290" spans="1:29">
      <c r="A290" t="s">
        <v>998</v>
      </c>
      <c r="B290" t="s">
        <v>999</v>
      </c>
      <c r="C290" s="3">
        <v>45730</v>
      </c>
      <c r="D290">
        <v>2025</v>
      </c>
      <c r="E290">
        <v>3</v>
      </c>
      <c r="F290" t="s">
        <v>37</v>
      </c>
      <c r="G290" s="4">
        <v>7.6072499999999996</v>
      </c>
      <c r="H290" s="4">
        <v>60</v>
      </c>
      <c r="I290" s="5">
        <v>2705</v>
      </c>
      <c r="J290" s="5">
        <v>93</v>
      </c>
      <c r="K290" t="s">
        <v>83</v>
      </c>
      <c r="L290" t="s">
        <v>83</v>
      </c>
      <c r="M290" t="s">
        <v>54</v>
      </c>
      <c r="N290" t="s">
        <v>54</v>
      </c>
      <c r="O290" t="s">
        <v>111</v>
      </c>
      <c r="P290" t="s">
        <v>68</v>
      </c>
      <c r="Q290" t="s">
        <v>42</v>
      </c>
      <c r="R290" t="s">
        <v>43</v>
      </c>
      <c r="S290" s="5">
        <v>0</v>
      </c>
      <c r="T290" s="5">
        <v>0</v>
      </c>
      <c r="U290" t="s">
        <v>57</v>
      </c>
      <c r="V290" t="s">
        <v>1000</v>
      </c>
      <c r="W290" s="5"/>
      <c r="X290" s="4"/>
      <c r="Y290" s="4"/>
      <c r="Z290" s="4"/>
      <c r="AA290" s="4">
        <f t="shared" si="12"/>
        <v>2.8122920517560073</v>
      </c>
      <c r="AB290" s="6">
        <f t="shared" si="13"/>
        <v>0.1267875</v>
      </c>
      <c r="AC290" s="6" t="str">
        <f t="shared" si="14"/>
        <v/>
      </c>
    </row>
    <row r="291" spans="1:29">
      <c r="A291" t="s">
        <v>1001</v>
      </c>
      <c r="B291" t="s">
        <v>1002</v>
      </c>
      <c r="C291" s="3">
        <v>45730</v>
      </c>
      <c r="D291">
        <v>2025</v>
      </c>
      <c r="E291">
        <v>3</v>
      </c>
      <c r="F291" t="s">
        <v>37</v>
      </c>
      <c r="G291" s="4">
        <v>1.0331170000000001</v>
      </c>
      <c r="H291" s="4">
        <v>10</v>
      </c>
      <c r="I291" s="5">
        <v>1764</v>
      </c>
      <c r="J291" s="5">
        <v>103</v>
      </c>
      <c r="K291" t="s">
        <v>83</v>
      </c>
      <c r="L291" t="s">
        <v>83</v>
      </c>
      <c r="M291" t="s">
        <v>54</v>
      </c>
      <c r="N291" t="s">
        <v>54</v>
      </c>
      <c r="O291" t="s">
        <v>226</v>
      </c>
      <c r="P291" t="s">
        <v>56</v>
      </c>
      <c r="Q291" t="s">
        <v>42</v>
      </c>
      <c r="R291" t="s">
        <v>43</v>
      </c>
      <c r="S291" s="5">
        <v>0</v>
      </c>
      <c r="T291" s="5">
        <v>0</v>
      </c>
      <c r="U291" t="s">
        <v>57</v>
      </c>
      <c r="V291" t="s">
        <v>1003</v>
      </c>
      <c r="W291" s="5"/>
      <c r="X291" s="4"/>
      <c r="Y291" s="4"/>
      <c r="Z291" s="4"/>
      <c r="AA291" s="4">
        <f t="shared" si="12"/>
        <v>0.58566723356009065</v>
      </c>
      <c r="AB291" s="6">
        <f t="shared" si="13"/>
        <v>0.10331170000000001</v>
      </c>
      <c r="AC291" s="6" t="str">
        <f t="shared" si="14"/>
        <v/>
      </c>
    </row>
    <row r="292" spans="1:29">
      <c r="A292" t="s">
        <v>1004</v>
      </c>
      <c r="B292" t="s">
        <v>1005</v>
      </c>
      <c r="C292" s="3">
        <v>45730</v>
      </c>
      <c r="D292">
        <v>2025</v>
      </c>
      <c r="E292">
        <v>3</v>
      </c>
      <c r="F292" t="s">
        <v>37</v>
      </c>
      <c r="G292" s="4">
        <v>3.15883</v>
      </c>
      <c r="H292" s="4">
        <v>15</v>
      </c>
      <c r="I292" s="5">
        <v>2827</v>
      </c>
      <c r="J292" s="5">
        <v>91</v>
      </c>
      <c r="K292" t="s">
        <v>48</v>
      </c>
      <c r="L292" t="s">
        <v>49</v>
      </c>
      <c r="M292" t="s">
        <v>94</v>
      </c>
      <c r="N292" t="s">
        <v>94</v>
      </c>
      <c r="O292" t="s">
        <v>1006</v>
      </c>
      <c r="P292" t="s">
        <v>56</v>
      </c>
      <c r="Q292" t="s">
        <v>42</v>
      </c>
      <c r="R292" t="s">
        <v>43</v>
      </c>
      <c r="S292" s="5">
        <v>0</v>
      </c>
      <c r="T292" s="5">
        <v>0</v>
      </c>
      <c r="U292" t="s">
        <v>57</v>
      </c>
      <c r="V292" t="s">
        <v>1007</v>
      </c>
      <c r="W292" s="5"/>
      <c r="X292" s="4"/>
      <c r="Y292" s="4"/>
      <c r="Z292" s="4"/>
      <c r="AA292" s="4">
        <f t="shared" si="12"/>
        <v>1.1173788468340997</v>
      </c>
      <c r="AB292" s="6">
        <f t="shared" si="13"/>
        <v>0.21058866666666667</v>
      </c>
      <c r="AC292" s="6" t="str">
        <f t="shared" si="14"/>
        <v/>
      </c>
    </row>
    <row r="293" spans="1:29">
      <c r="A293" t="s">
        <v>1008</v>
      </c>
      <c r="B293" t="s">
        <v>1009</v>
      </c>
      <c r="C293" s="3">
        <v>45737</v>
      </c>
      <c r="D293">
        <v>2025</v>
      </c>
      <c r="E293">
        <v>3</v>
      </c>
      <c r="F293" t="s">
        <v>37</v>
      </c>
      <c r="G293" s="4">
        <v>3.165349</v>
      </c>
      <c r="H293" s="4">
        <v>45</v>
      </c>
      <c r="I293" s="5">
        <v>2651</v>
      </c>
      <c r="J293" s="5">
        <v>123</v>
      </c>
      <c r="K293" t="s">
        <v>83</v>
      </c>
      <c r="L293" t="s">
        <v>83</v>
      </c>
      <c r="M293" t="s">
        <v>50</v>
      </c>
      <c r="N293" t="s">
        <v>50</v>
      </c>
      <c r="O293" t="s">
        <v>140</v>
      </c>
      <c r="P293" t="s">
        <v>141</v>
      </c>
      <c r="Q293" t="s">
        <v>42</v>
      </c>
      <c r="R293" t="s">
        <v>43</v>
      </c>
      <c r="S293" s="5">
        <v>0</v>
      </c>
      <c r="T293" s="5">
        <v>0</v>
      </c>
      <c r="U293" t="s">
        <v>57</v>
      </c>
      <c r="V293" t="s">
        <v>1010</v>
      </c>
      <c r="W293" s="5"/>
      <c r="X293" s="4"/>
      <c r="Y293" s="4"/>
      <c r="Z293" s="4"/>
      <c r="AA293" s="4">
        <f t="shared" si="12"/>
        <v>1.1940207468879669</v>
      </c>
      <c r="AB293" s="6">
        <f t="shared" si="13"/>
        <v>7.0341088888888889E-2</v>
      </c>
      <c r="AC293" s="6" t="str">
        <f t="shared" si="14"/>
        <v/>
      </c>
    </row>
    <row r="294" spans="1:29">
      <c r="A294" t="s">
        <v>1011</v>
      </c>
      <c r="B294" t="s">
        <v>1012</v>
      </c>
      <c r="C294" s="3">
        <v>45744</v>
      </c>
      <c r="D294">
        <v>2025</v>
      </c>
      <c r="E294">
        <v>3</v>
      </c>
      <c r="F294" t="s">
        <v>37</v>
      </c>
      <c r="G294" s="4">
        <v>15.510312000000001</v>
      </c>
      <c r="H294" s="4">
        <v>40</v>
      </c>
      <c r="I294" s="5">
        <v>3262</v>
      </c>
      <c r="J294" s="5">
        <v>116</v>
      </c>
      <c r="K294" t="s">
        <v>83</v>
      </c>
      <c r="L294" t="s">
        <v>83</v>
      </c>
      <c r="M294" t="s">
        <v>61</v>
      </c>
      <c r="N294" t="s">
        <v>61</v>
      </c>
      <c r="O294" t="s">
        <v>754</v>
      </c>
      <c r="P294" t="s">
        <v>56</v>
      </c>
      <c r="Q294" t="s">
        <v>662</v>
      </c>
      <c r="R294" t="s">
        <v>64</v>
      </c>
      <c r="S294" s="5">
        <v>0</v>
      </c>
      <c r="T294" s="5">
        <v>0</v>
      </c>
      <c r="U294" t="s">
        <v>57</v>
      </c>
      <c r="V294" t="s">
        <v>1013</v>
      </c>
      <c r="W294" s="5"/>
      <c r="X294" s="4"/>
      <c r="Y294" s="4"/>
      <c r="Z294" s="4"/>
      <c r="AA294" s="4">
        <f t="shared" si="12"/>
        <v>4.7548473329245864</v>
      </c>
      <c r="AB294" s="6">
        <f t="shared" si="13"/>
        <v>0.38775780000000004</v>
      </c>
      <c r="AC294" s="6" t="str">
        <f t="shared" si="14"/>
        <v/>
      </c>
    </row>
    <row r="295" spans="1:29">
      <c r="A295" t="s">
        <v>1014</v>
      </c>
      <c r="B295" t="s">
        <v>1015</v>
      </c>
      <c r="C295" s="3">
        <v>45744</v>
      </c>
      <c r="D295">
        <v>2025</v>
      </c>
      <c r="E295">
        <v>3</v>
      </c>
      <c r="F295" t="s">
        <v>37</v>
      </c>
      <c r="G295" s="4">
        <v>5.7874249999999998</v>
      </c>
      <c r="H295" s="4">
        <v>15</v>
      </c>
      <c r="I295" s="5">
        <v>3050</v>
      </c>
      <c r="J295" s="5">
        <v>104</v>
      </c>
      <c r="K295" t="s">
        <v>83</v>
      </c>
      <c r="L295" t="s">
        <v>83</v>
      </c>
      <c r="M295" t="s">
        <v>268</v>
      </c>
      <c r="N295" t="s">
        <v>94</v>
      </c>
      <c r="O295" t="s">
        <v>226</v>
      </c>
      <c r="P295" t="s">
        <v>56</v>
      </c>
      <c r="Q295" t="s">
        <v>42</v>
      </c>
      <c r="R295" t="s">
        <v>43</v>
      </c>
      <c r="S295" s="5">
        <v>0</v>
      </c>
      <c r="T295" s="5">
        <v>0</v>
      </c>
      <c r="U295" t="s">
        <v>57</v>
      </c>
      <c r="V295" t="s">
        <v>1016</v>
      </c>
      <c r="W295" s="5"/>
      <c r="X295" s="4"/>
      <c r="Y295" s="4"/>
      <c r="Z295" s="4"/>
      <c r="AA295" s="4">
        <f t="shared" si="12"/>
        <v>1.8975163934426229</v>
      </c>
      <c r="AB295" s="6">
        <f t="shared" si="13"/>
        <v>0.38582833333333333</v>
      </c>
      <c r="AC295" s="6" t="str">
        <f t="shared" si="14"/>
        <v/>
      </c>
    </row>
    <row r="296" spans="1:29">
      <c r="A296" t="s">
        <v>1017</v>
      </c>
      <c r="B296" t="s">
        <v>1018</v>
      </c>
      <c r="C296" s="3">
        <v>45744</v>
      </c>
      <c r="D296">
        <v>2025</v>
      </c>
      <c r="E296">
        <v>3</v>
      </c>
      <c r="F296" t="s">
        <v>37</v>
      </c>
      <c r="G296" s="4">
        <v>9.3952550000000006</v>
      </c>
      <c r="H296" s="4">
        <v>12</v>
      </c>
      <c r="I296" s="5">
        <v>2842</v>
      </c>
      <c r="J296" s="5">
        <v>87</v>
      </c>
      <c r="K296" t="s">
        <v>38</v>
      </c>
      <c r="L296" t="s">
        <v>38</v>
      </c>
      <c r="M296" t="s">
        <v>39</v>
      </c>
      <c r="N296" t="s">
        <v>39</v>
      </c>
      <c r="O296" t="s">
        <v>68</v>
      </c>
      <c r="P296" t="s">
        <v>68</v>
      </c>
      <c r="Q296" t="s">
        <v>42</v>
      </c>
      <c r="R296" t="s">
        <v>43</v>
      </c>
      <c r="S296" s="5">
        <v>0</v>
      </c>
      <c r="T296" s="5">
        <v>0</v>
      </c>
      <c r="U296" t="s">
        <v>57</v>
      </c>
      <c r="V296" t="s">
        <v>1019</v>
      </c>
      <c r="W296" s="5"/>
      <c r="X296" s="4"/>
      <c r="Y296" s="4"/>
      <c r="Z296" s="4"/>
      <c r="AA296" s="4">
        <f t="shared" si="12"/>
        <v>3.3058603096410981</v>
      </c>
      <c r="AB296" s="6">
        <f t="shared" si="13"/>
        <v>0.78293791666666668</v>
      </c>
      <c r="AC296" s="6" t="str">
        <f t="shared" si="14"/>
        <v/>
      </c>
    </row>
    <row r="297" spans="1:29">
      <c r="A297" t="s">
        <v>1020</v>
      </c>
      <c r="B297" t="s">
        <v>1021</v>
      </c>
      <c r="C297" s="3">
        <v>45751</v>
      </c>
      <c r="D297">
        <v>2025</v>
      </c>
      <c r="E297">
        <v>4</v>
      </c>
      <c r="F297" t="s">
        <v>136</v>
      </c>
      <c r="G297" s="4">
        <v>162.75300300000001</v>
      </c>
      <c r="H297" s="4">
        <v>150</v>
      </c>
      <c r="I297" s="5">
        <v>4263</v>
      </c>
      <c r="J297" s="5">
        <v>100</v>
      </c>
      <c r="K297" t="s">
        <v>48</v>
      </c>
      <c r="L297" t="s">
        <v>49</v>
      </c>
      <c r="M297" t="s">
        <v>72</v>
      </c>
      <c r="N297" t="s">
        <v>72</v>
      </c>
      <c r="O297" t="s">
        <v>140</v>
      </c>
      <c r="P297" t="s">
        <v>141</v>
      </c>
      <c r="Q297" t="s">
        <v>42</v>
      </c>
      <c r="R297" t="s">
        <v>43</v>
      </c>
      <c r="S297" s="5">
        <v>0</v>
      </c>
      <c r="T297" s="5">
        <v>0</v>
      </c>
      <c r="U297" t="s">
        <v>57</v>
      </c>
      <c r="V297" t="s">
        <v>1022</v>
      </c>
      <c r="W297" s="5"/>
      <c r="X297" s="4"/>
      <c r="Y297" s="4"/>
      <c r="Z297" s="4"/>
      <c r="AA297" s="4">
        <f t="shared" si="12"/>
        <v>38.178044334975368</v>
      </c>
      <c r="AB297" s="6">
        <f t="shared" si="13"/>
        <v>1.08502002</v>
      </c>
      <c r="AC297" s="6" t="str">
        <f t="shared" si="14"/>
        <v/>
      </c>
    </row>
    <row r="298" spans="1:29">
      <c r="A298" t="s">
        <v>1023</v>
      </c>
      <c r="B298" t="s">
        <v>1024</v>
      </c>
      <c r="C298" s="3">
        <v>45751</v>
      </c>
      <c r="D298">
        <v>2025</v>
      </c>
      <c r="E298">
        <v>4</v>
      </c>
      <c r="F298" t="s">
        <v>136</v>
      </c>
      <c r="G298" s="4">
        <v>1.765814</v>
      </c>
      <c r="H298" s="4">
        <v>3</v>
      </c>
      <c r="I298" s="5">
        <v>1255</v>
      </c>
      <c r="J298" s="5">
        <v>88</v>
      </c>
      <c r="K298" t="s">
        <v>83</v>
      </c>
      <c r="L298" t="s">
        <v>83</v>
      </c>
      <c r="M298" t="s">
        <v>39</v>
      </c>
      <c r="N298" t="s">
        <v>39</v>
      </c>
      <c r="O298" t="s">
        <v>128</v>
      </c>
      <c r="P298" t="s">
        <v>56</v>
      </c>
      <c r="Q298" t="s">
        <v>248</v>
      </c>
      <c r="R298" t="s">
        <v>64</v>
      </c>
      <c r="S298" s="5">
        <v>0</v>
      </c>
      <c r="T298" s="5">
        <v>0</v>
      </c>
      <c r="U298" t="s">
        <v>57</v>
      </c>
      <c r="V298" t="s">
        <v>1025</v>
      </c>
      <c r="W298" s="5"/>
      <c r="X298" s="4"/>
      <c r="Y298" s="4"/>
      <c r="Z298" s="4"/>
      <c r="AA298" s="4">
        <f t="shared" si="12"/>
        <v>1.4070231075697213</v>
      </c>
      <c r="AB298" s="6">
        <f t="shared" si="13"/>
        <v>0.58860466666666666</v>
      </c>
      <c r="AC298" s="6" t="str">
        <f t="shared" si="14"/>
        <v/>
      </c>
    </row>
    <row r="299" spans="1:29">
      <c r="A299" t="s">
        <v>1026</v>
      </c>
      <c r="B299" t="s">
        <v>1027</v>
      </c>
      <c r="C299" s="3">
        <v>45758</v>
      </c>
      <c r="D299">
        <v>2025</v>
      </c>
      <c r="E299">
        <v>4</v>
      </c>
      <c r="F299" t="s">
        <v>136</v>
      </c>
      <c r="G299" s="4">
        <v>7.3970149999999997</v>
      </c>
      <c r="H299" s="4">
        <v>11</v>
      </c>
      <c r="I299" s="5">
        <v>3085</v>
      </c>
      <c r="J299" s="5">
        <v>95</v>
      </c>
      <c r="K299" t="s">
        <v>38</v>
      </c>
      <c r="L299" t="s">
        <v>38</v>
      </c>
      <c r="M299" t="s">
        <v>54</v>
      </c>
      <c r="N299" t="s">
        <v>54</v>
      </c>
      <c r="O299" t="s">
        <v>68</v>
      </c>
      <c r="P299" t="s">
        <v>68</v>
      </c>
      <c r="Q299" t="s">
        <v>42</v>
      </c>
      <c r="R299" t="s">
        <v>43</v>
      </c>
      <c r="S299" s="5">
        <v>0</v>
      </c>
      <c r="T299" s="5">
        <v>0</v>
      </c>
      <c r="U299" t="s">
        <v>57</v>
      </c>
      <c r="V299" t="s">
        <v>1028</v>
      </c>
      <c r="W299" s="5"/>
      <c r="X299" s="4"/>
      <c r="Y299" s="4"/>
      <c r="Z299" s="4"/>
      <c r="AA299" s="4">
        <f t="shared" si="12"/>
        <v>2.397735818476499</v>
      </c>
      <c r="AB299" s="6">
        <f t="shared" si="13"/>
        <v>0.67245590909090902</v>
      </c>
      <c r="AC299" s="6" t="str">
        <f t="shared" si="14"/>
        <v/>
      </c>
    </row>
    <row r="300" spans="1:29">
      <c r="A300" t="s">
        <v>1029</v>
      </c>
      <c r="B300" t="s">
        <v>1030</v>
      </c>
      <c r="C300" s="3">
        <v>45758</v>
      </c>
      <c r="D300">
        <v>2025</v>
      </c>
      <c r="E300">
        <v>4</v>
      </c>
      <c r="F300" t="s">
        <v>136</v>
      </c>
      <c r="G300" s="4">
        <v>19.371296000000001</v>
      </c>
      <c r="H300" s="4">
        <v>25</v>
      </c>
      <c r="I300" s="5">
        <v>3200</v>
      </c>
      <c r="J300" s="5">
        <v>101</v>
      </c>
      <c r="K300" t="s">
        <v>48</v>
      </c>
      <c r="L300" t="s">
        <v>49</v>
      </c>
      <c r="M300" t="s">
        <v>50</v>
      </c>
      <c r="N300" t="s">
        <v>50</v>
      </c>
      <c r="O300" t="s">
        <v>595</v>
      </c>
      <c r="P300" t="s">
        <v>56</v>
      </c>
      <c r="Q300" t="s">
        <v>1031</v>
      </c>
      <c r="R300" t="s">
        <v>64</v>
      </c>
      <c r="S300" s="5">
        <v>0</v>
      </c>
      <c r="T300" s="5">
        <v>0</v>
      </c>
      <c r="U300" t="s">
        <v>57</v>
      </c>
      <c r="V300" t="s">
        <v>1032</v>
      </c>
      <c r="W300" s="5"/>
      <c r="X300" s="4"/>
      <c r="Y300" s="4"/>
      <c r="Z300" s="4"/>
      <c r="AA300" s="4">
        <f t="shared" si="12"/>
        <v>6.0535300000000003</v>
      </c>
      <c r="AB300" s="6">
        <f t="shared" si="13"/>
        <v>0.77485184000000007</v>
      </c>
      <c r="AC300" s="6" t="str">
        <f t="shared" si="14"/>
        <v/>
      </c>
    </row>
    <row r="301" spans="1:29">
      <c r="A301" t="s">
        <v>1033</v>
      </c>
      <c r="B301" t="s">
        <v>1034</v>
      </c>
      <c r="C301" s="3">
        <v>45758</v>
      </c>
      <c r="D301">
        <v>2025</v>
      </c>
      <c r="E301">
        <v>4</v>
      </c>
      <c r="F301" t="s">
        <v>136</v>
      </c>
      <c r="G301" s="4">
        <v>8.3179890000000007</v>
      </c>
      <c r="H301" s="4">
        <v>20</v>
      </c>
      <c r="I301" s="5">
        <v>2670</v>
      </c>
      <c r="J301" s="5">
        <v>95</v>
      </c>
      <c r="K301" t="s">
        <v>83</v>
      </c>
      <c r="L301" t="s">
        <v>83</v>
      </c>
      <c r="M301" t="s">
        <v>50</v>
      </c>
      <c r="N301" t="s">
        <v>50</v>
      </c>
      <c r="O301" t="s">
        <v>226</v>
      </c>
      <c r="P301" t="s">
        <v>56</v>
      </c>
      <c r="Q301" t="s">
        <v>662</v>
      </c>
      <c r="R301" t="s">
        <v>64</v>
      </c>
      <c r="S301" s="5">
        <v>0</v>
      </c>
      <c r="T301" s="5">
        <v>0</v>
      </c>
      <c r="U301" t="s">
        <v>57</v>
      </c>
      <c r="V301" t="s">
        <v>1035</v>
      </c>
      <c r="W301" s="5"/>
      <c r="X301" s="4"/>
      <c r="Y301" s="4"/>
      <c r="Z301" s="4"/>
      <c r="AA301" s="4">
        <f t="shared" si="12"/>
        <v>3.115351685393259</v>
      </c>
      <c r="AB301" s="6">
        <f t="shared" si="13"/>
        <v>0.41589945000000006</v>
      </c>
      <c r="AC301" s="6" t="str">
        <f t="shared" si="14"/>
        <v/>
      </c>
    </row>
    <row r="302" spans="1:29">
      <c r="A302" t="s">
        <v>1036</v>
      </c>
      <c r="B302" t="s">
        <v>1037</v>
      </c>
      <c r="C302" s="3">
        <v>45765</v>
      </c>
      <c r="D302">
        <v>2025</v>
      </c>
      <c r="E302">
        <v>4</v>
      </c>
      <c r="F302" t="s">
        <v>136</v>
      </c>
      <c r="G302" s="4">
        <v>48.007468000000003</v>
      </c>
      <c r="H302" s="4">
        <v>90</v>
      </c>
      <c r="I302" s="5">
        <v>3308</v>
      </c>
      <c r="J302" s="5">
        <v>137</v>
      </c>
      <c r="K302" t="s">
        <v>83</v>
      </c>
      <c r="L302" t="s">
        <v>83</v>
      </c>
      <c r="M302" t="s">
        <v>39</v>
      </c>
      <c r="N302" t="s">
        <v>39</v>
      </c>
      <c r="O302" t="s">
        <v>140</v>
      </c>
      <c r="P302" t="s">
        <v>141</v>
      </c>
      <c r="Q302" t="s">
        <v>42</v>
      </c>
      <c r="R302" t="s">
        <v>43</v>
      </c>
      <c r="S302" s="5">
        <v>0</v>
      </c>
      <c r="T302" s="5">
        <v>0</v>
      </c>
      <c r="U302" t="s">
        <v>57</v>
      </c>
      <c r="V302" t="s">
        <v>1038</v>
      </c>
      <c r="W302" s="5"/>
      <c r="X302" s="4"/>
      <c r="Y302" s="4"/>
      <c r="Z302" s="4"/>
      <c r="AA302" s="4">
        <f t="shared" si="12"/>
        <v>14.512535671100363</v>
      </c>
      <c r="AB302" s="6">
        <f t="shared" si="13"/>
        <v>0.5334163111111111</v>
      </c>
      <c r="AC302" s="6" t="str">
        <f t="shared" si="14"/>
        <v/>
      </c>
    </row>
    <row r="303" spans="1:29">
      <c r="A303" t="s">
        <v>1039</v>
      </c>
      <c r="B303" t="s">
        <v>1040</v>
      </c>
      <c r="C303" s="3">
        <v>45772</v>
      </c>
      <c r="D303">
        <v>2025</v>
      </c>
      <c r="E303">
        <v>4</v>
      </c>
      <c r="F303" t="s">
        <v>136</v>
      </c>
      <c r="G303" s="4">
        <v>24.533958999999999</v>
      </c>
      <c r="H303" s="4">
        <v>80</v>
      </c>
      <c r="I303" s="5">
        <v>3610</v>
      </c>
      <c r="J303" s="5">
        <v>125</v>
      </c>
      <c r="K303" t="s">
        <v>83</v>
      </c>
      <c r="L303" t="s">
        <v>83</v>
      </c>
      <c r="M303" t="s">
        <v>54</v>
      </c>
      <c r="N303" t="s">
        <v>54</v>
      </c>
      <c r="O303" t="s">
        <v>754</v>
      </c>
      <c r="P303" t="s">
        <v>56</v>
      </c>
      <c r="Q303" t="s">
        <v>42</v>
      </c>
      <c r="R303" t="s">
        <v>43</v>
      </c>
      <c r="S303" s="5">
        <v>0</v>
      </c>
      <c r="T303" s="5">
        <v>0</v>
      </c>
      <c r="U303" t="s">
        <v>57</v>
      </c>
      <c r="V303" t="s">
        <v>1041</v>
      </c>
      <c r="W303" s="5"/>
      <c r="X303" s="4"/>
      <c r="Y303" s="4"/>
      <c r="Z303" s="4"/>
      <c r="AA303" s="4">
        <f t="shared" si="12"/>
        <v>6.7961105263157888</v>
      </c>
      <c r="AB303" s="6">
        <f t="shared" si="13"/>
        <v>0.30667448749999998</v>
      </c>
      <c r="AC303" s="6" t="str">
        <f t="shared" si="14"/>
        <v/>
      </c>
    </row>
    <row r="304" spans="1:29">
      <c r="A304" t="s">
        <v>1042</v>
      </c>
      <c r="B304" t="s">
        <v>1043</v>
      </c>
      <c r="C304" s="3">
        <v>45772</v>
      </c>
      <c r="D304">
        <v>2025</v>
      </c>
      <c r="E304">
        <v>4</v>
      </c>
      <c r="F304" t="s">
        <v>136</v>
      </c>
      <c r="G304" s="4">
        <v>8.0034019999999995</v>
      </c>
      <c r="H304" s="4">
        <v>15</v>
      </c>
      <c r="I304" s="5">
        <v>3055</v>
      </c>
      <c r="J304" s="5">
        <v>94</v>
      </c>
      <c r="K304" t="s">
        <v>83</v>
      </c>
      <c r="L304" t="s">
        <v>83</v>
      </c>
      <c r="M304" t="s">
        <v>39</v>
      </c>
      <c r="N304" t="s">
        <v>39</v>
      </c>
      <c r="O304" t="s">
        <v>40</v>
      </c>
      <c r="P304" t="s">
        <v>41</v>
      </c>
      <c r="Q304" t="s">
        <v>42</v>
      </c>
      <c r="R304" t="s">
        <v>43</v>
      </c>
      <c r="S304" s="5">
        <v>0</v>
      </c>
      <c r="T304" s="5">
        <v>0</v>
      </c>
      <c r="U304" t="s">
        <v>57</v>
      </c>
      <c r="V304" t="s">
        <v>1044</v>
      </c>
      <c r="W304" s="5"/>
      <c r="X304" s="4"/>
      <c r="Y304" s="4"/>
      <c r="Z304" s="4"/>
      <c r="AA304" s="4">
        <f t="shared" si="12"/>
        <v>2.619771522094926</v>
      </c>
      <c r="AB304" s="6">
        <f t="shared" si="13"/>
        <v>0.5335601333333333</v>
      </c>
      <c r="AC304" s="6" t="str">
        <f t="shared" si="14"/>
        <v/>
      </c>
    </row>
    <row r="305" spans="1:29">
      <c r="A305" t="s">
        <v>1045</v>
      </c>
      <c r="B305" t="s">
        <v>1046</v>
      </c>
      <c r="C305" s="3">
        <v>45786</v>
      </c>
      <c r="D305">
        <v>2025</v>
      </c>
      <c r="E305">
        <v>5</v>
      </c>
      <c r="F305" t="s">
        <v>136</v>
      </c>
      <c r="G305" s="4">
        <v>3.6489910000000001</v>
      </c>
      <c r="H305" s="4">
        <v>1</v>
      </c>
      <c r="I305" s="5">
        <v>2277</v>
      </c>
      <c r="J305" s="5">
        <v>96</v>
      </c>
      <c r="K305" t="s">
        <v>83</v>
      </c>
      <c r="L305" t="s">
        <v>83</v>
      </c>
      <c r="M305" t="s">
        <v>39</v>
      </c>
      <c r="N305" t="s">
        <v>39</v>
      </c>
      <c r="O305" t="s">
        <v>1047</v>
      </c>
      <c r="P305" t="s">
        <v>56</v>
      </c>
      <c r="Q305" t="s">
        <v>42</v>
      </c>
      <c r="R305" t="s">
        <v>43</v>
      </c>
      <c r="S305" s="5">
        <v>1</v>
      </c>
      <c r="T305" s="5">
        <v>0</v>
      </c>
      <c r="U305" t="s">
        <v>57</v>
      </c>
      <c r="V305" t="s">
        <v>1048</v>
      </c>
      <c r="W305" s="5"/>
      <c r="X305" s="4"/>
      <c r="Y305" s="4"/>
      <c r="Z305" s="4"/>
      <c r="AA305" s="4">
        <f t="shared" si="12"/>
        <v>1.6025432586736934</v>
      </c>
      <c r="AB305" s="6">
        <f t="shared" si="13"/>
        <v>3.6489910000000001</v>
      </c>
      <c r="AC305" s="6" t="str">
        <f t="shared" si="14"/>
        <v/>
      </c>
    </row>
    <row r="306" spans="1:29">
      <c r="A306" t="s">
        <v>1049</v>
      </c>
      <c r="B306" t="s">
        <v>1050</v>
      </c>
      <c r="C306" s="3">
        <v>45786</v>
      </c>
      <c r="D306">
        <v>2025</v>
      </c>
      <c r="E306">
        <v>5</v>
      </c>
      <c r="F306" t="s">
        <v>136</v>
      </c>
      <c r="G306" s="4">
        <v>2.1518540000000002</v>
      </c>
      <c r="H306" s="4">
        <v>40</v>
      </c>
      <c r="I306" s="5">
        <v>2170</v>
      </c>
      <c r="J306" s="5">
        <v>104</v>
      </c>
      <c r="K306" t="s">
        <v>83</v>
      </c>
      <c r="L306" t="s">
        <v>83</v>
      </c>
      <c r="M306" t="s">
        <v>61</v>
      </c>
      <c r="N306" t="s">
        <v>61</v>
      </c>
      <c r="O306" t="s">
        <v>84</v>
      </c>
      <c r="P306" t="s">
        <v>84</v>
      </c>
      <c r="Q306" t="s">
        <v>42</v>
      </c>
      <c r="R306" t="s">
        <v>43</v>
      </c>
      <c r="S306" s="5">
        <v>1</v>
      </c>
      <c r="T306" s="5">
        <v>0</v>
      </c>
      <c r="U306" t="s">
        <v>57</v>
      </c>
      <c r="V306" t="s">
        <v>1051</v>
      </c>
      <c r="W306" s="5"/>
      <c r="X306" s="4"/>
      <c r="Y306" s="4"/>
      <c r="Z306" s="4"/>
      <c r="AA306" s="4">
        <f t="shared" si="12"/>
        <v>0.99163778801843327</v>
      </c>
      <c r="AB306" s="6">
        <f t="shared" si="13"/>
        <v>5.3796350000000007E-2</v>
      </c>
      <c r="AC306" s="6" t="str">
        <f t="shared" si="14"/>
        <v/>
      </c>
    </row>
    <row r="307" spans="1:29">
      <c r="A307" t="s">
        <v>1052</v>
      </c>
      <c r="B307" t="s">
        <v>1053</v>
      </c>
      <c r="C307" s="3">
        <v>45793</v>
      </c>
      <c r="D307">
        <v>2025</v>
      </c>
      <c r="E307">
        <v>5</v>
      </c>
      <c r="F307" t="s">
        <v>136</v>
      </c>
      <c r="G307" s="4">
        <v>51.600105999999997</v>
      </c>
      <c r="H307" s="4">
        <v>50</v>
      </c>
      <c r="I307" s="5">
        <v>3523</v>
      </c>
      <c r="J307" s="5">
        <v>109</v>
      </c>
      <c r="K307" t="s">
        <v>83</v>
      </c>
      <c r="L307" t="s">
        <v>83</v>
      </c>
      <c r="M307" t="s">
        <v>39</v>
      </c>
      <c r="N307" t="s">
        <v>39</v>
      </c>
      <c r="O307" t="s">
        <v>140</v>
      </c>
      <c r="P307" t="s">
        <v>141</v>
      </c>
      <c r="Q307" t="s">
        <v>42</v>
      </c>
      <c r="R307" t="s">
        <v>43</v>
      </c>
      <c r="S307" s="5">
        <v>1</v>
      </c>
      <c r="T307" s="5">
        <v>0</v>
      </c>
      <c r="U307" t="s">
        <v>57</v>
      </c>
      <c r="V307" t="s">
        <v>1054</v>
      </c>
      <c r="W307" s="5"/>
      <c r="X307" s="4"/>
      <c r="Y307" s="4"/>
      <c r="Z307" s="4"/>
      <c r="AA307" s="4">
        <f t="shared" si="12"/>
        <v>14.646638092534772</v>
      </c>
      <c r="AB307" s="6">
        <f t="shared" si="13"/>
        <v>1.03200212</v>
      </c>
      <c r="AC307" s="6" t="str">
        <f t="shared" si="14"/>
        <v/>
      </c>
    </row>
    <row r="308" spans="1:29">
      <c r="A308" t="s">
        <v>1055</v>
      </c>
      <c r="B308" t="s">
        <v>1056</v>
      </c>
      <c r="C308" s="3">
        <v>45793</v>
      </c>
      <c r="D308">
        <v>2025</v>
      </c>
      <c r="E308">
        <v>5</v>
      </c>
      <c r="F308" t="s">
        <v>136</v>
      </c>
      <c r="G308" s="4">
        <v>3.3126920000000002</v>
      </c>
      <c r="H308" s="4">
        <v>15</v>
      </c>
      <c r="I308" s="5">
        <v>2020</v>
      </c>
      <c r="J308" s="5">
        <v>116</v>
      </c>
      <c r="K308" t="s">
        <v>83</v>
      </c>
      <c r="L308" t="s">
        <v>83</v>
      </c>
      <c r="M308" t="s">
        <v>54</v>
      </c>
      <c r="N308" t="s">
        <v>54</v>
      </c>
      <c r="O308" t="s">
        <v>84</v>
      </c>
      <c r="P308" t="s">
        <v>84</v>
      </c>
      <c r="Q308" t="s">
        <v>42</v>
      </c>
      <c r="R308" t="s">
        <v>43</v>
      </c>
      <c r="S308" s="5">
        <v>1</v>
      </c>
      <c r="T308" s="5">
        <v>0</v>
      </c>
      <c r="U308" t="s">
        <v>57</v>
      </c>
      <c r="V308" t="s">
        <v>1057</v>
      </c>
      <c r="W308" s="5"/>
      <c r="X308" s="4"/>
      <c r="Y308" s="4"/>
      <c r="Z308" s="4"/>
      <c r="AA308" s="4">
        <f t="shared" si="12"/>
        <v>1.6399465346534654</v>
      </c>
      <c r="AB308" s="6">
        <f t="shared" si="13"/>
        <v>0.22084613333333333</v>
      </c>
      <c r="AC308" s="6" t="str">
        <f t="shared" si="14"/>
        <v/>
      </c>
    </row>
    <row r="309" spans="1:29">
      <c r="A309" t="s">
        <v>1058</v>
      </c>
      <c r="B309" t="s">
        <v>1059</v>
      </c>
      <c r="C309" s="3">
        <v>45800</v>
      </c>
      <c r="D309">
        <v>2025</v>
      </c>
      <c r="E309">
        <v>5</v>
      </c>
      <c r="F309" t="s">
        <v>136</v>
      </c>
      <c r="G309" s="4">
        <v>146.016175</v>
      </c>
      <c r="H309" s="4">
        <v>100</v>
      </c>
      <c r="I309" s="5">
        <v>4410</v>
      </c>
      <c r="J309" s="5">
        <v>108</v>
      </c>
      <c r="K309" t="s">
        <v>48</v>
      </c>
      <c r="L309" t="s">
        <v>49</v>
      </c>
      <c r="M309" t="s">
        <v>72</v>
      </c>
      <c r="N309" t="s">
        <v>72</v>
      </c>
      <c r="O309" t="s">
        <v>107</v>
      </c>
      <c r="P309" t="s">
        <v>74</v>
      </c>
      <c r="Q309" t="s">
        <v>42</v>
      </c>
      <c r="R309" t="s">
        <v>43</v>
      </c>
      <c r="S309" s="5">
        <v>1</v>
      </c>
      <c r="T309" s="5">
        <v>0</v>
      </c>
      <c r="U309" t="s">
        <v>57</v>
      </c>
      <c r="V309" t="s">
        <v>1060</v>
      </c>
      <c r="W309" s="5"/>
      <c r="X309" s="4"/>
      <c r="Y309" s="4"/>
      <c r="Z309" s="4"/>
      <c r="AA309" s="4">
        <f t="shared" si="12"/>
        <v>33.110243764172338</v>
      </c>
      <c r="AB309" s="6">
        <f t="shared" si="13"/>
        <v>1.4601617500000001</v>
      </c>
      <c r="AC309" s="6" t="str">
        <f t="shared" si="14"/>
        <v/>
      </c>
    </row>
    <row r="310" spans="1:29">
      <c r="A310" t="s">
        <v>1061</v>
      </c>
      <c r="B310" t="s">
        <v>1062</v>
      </c>
      <c r="C310" s="3">
        <v>45800</v>
      </c>
      <c r="D310">
        <v>2025</v>
      </c>
      <c r="E310">
        <v>5</v>
      </c>
      <c r="F310" t="s">
        <v>136</v>
      </c>
      <c r="G310" s="4">
        <v>64.036428000000001</v>
      </c>
      <c r="H310" s="4">
        <v>400</v>
      </c>
      <c r="I310" s="5">
        <v>3857</v>
      </c>
      <c r="J310" s="5">
        <v>169</v>
      </c>
      <c r="K310" t="s">
        <v>38</v>
      </c>
      <c r="L310" t="s">
        <v>38</v>
      </c>
      <c r="M310" t="s">
        <v>61</v>
      </c>
      <c r="N310" t="s">
        <v>61</v>
      </c>
      <c r="O310" t="s">
        <v>95</v>
      </c>
      <c r="P310" t="s">
        <v>96</v>
      </c>
      <c r="Q310" t="s">
        <v>42</v>
      </c>
      <c r="R310" t="s">
        <v>43</v>
      </c>
      <c r="S310" s="5">
        <v>1</v>
      </c>
      <c r="T310" s="5">
        <v>0</v>
      </c>
      <c r="U310" t="s">
        <v>57</v>
      </c>
      <c r="V310" t="s">
        <v>1063</v>
      </c>
      <c r="W310" s="5"/>
      <c r="X310" s="4"/>
      <c r="Y310" s="4"/>
      <c r="Z310" s="4"/>
      <c r="AA310" s="4">
        <f t="shared" si="12"/>
        <v>16.60265180191859</v>
      </c>
      <c r="AB310" s="6">
        <f t="shared" si="13"/>
        <v>0.16009107</v>
      </c>
      <c r="AC310" s="6" t="str">
        <f t="shared" si="14"/>
        <v/>
      </c>
    </row>
    <row r="311" spans="1:29">
      <c r="A311" t="s">
        <v>1064</v>
      </c>
      <c r="B311" t="s">
        <v>1065</v>
      </c>
      <c r="C311" s="3">
        <v>45800</v>
      </c>
      <c r="D311">
        <v>2025</v>
      </c>
      <c r="E311">
        <v>5</v>
      </c>
      <c r="F311" t="s">
        <v>136</v>
      </c>
      <c r="G311" s="4">
        <v>5.4268850000000004</v>
      </c>
      <c r="H311" s="4">
        <v>8</v>
      </c>
      <c r="I311" s="5">
        <v>2205</v>
      </c>
      <c r="J311" s="5">
        <v>118</v>
      </c>
      <c r="K311" t="s">
        <v>48</v>
      </c>
      <c r="L311" t="s">
        <v>49</v>
      </c>
      <c r="M311" t="s">
        <v>50</v>
      </c>
      <c r="N311" t="s">
        <v>50</v>
      </c>
      <c r="O311" t="s">
        <v>595</v>
      </c>
      <c r="P311" t="s">
        <v>56</v>
      </c>
      <c r="Q311" t="s">
        <v>42</v>
      </c>
      <c r="R311" t="s">
        <v>43</v>
      </c>
      <c r="S311" s="5">
        <v>1</v>
      </c>
      <c r="T311" s="5">
        <v>0</v>
      </c>
      <c r="U311" t="s">
        <v>57</v>
      </c>
      <c r="V311" t="s">
        <v>1066</v>
      </c>
      <c r="W311" s="5"/>
      <c r="X311" s="4"/>
      <c r="Y311" s="4"/>
      <c r="Z311" s="4"/>
      <c r="AA311" s="4">
        <f t="shared" si="12"/>
        <v>2.461172335600907</v>
      </c>
      <c r="AB311" s="6">
        <f t="shared" si="13"/>
        <v>0.67836062500000005</v>
      </c>
      <c r="AC311" s="6" t="str">
        <f t="shared" si="14"/>
        <v/>
      </c>
    </row>
    <row r="312" spans="1:29">
      <c r="A312" t="s">
        <v>1067</v>
      </c>
      <c r="B312" t="s">
        <v>1068</v>
      </c>
      <c r="C312" s="3">
        <v>45807</v>
      </c>
      <c r="D312">
        <v>2025</v>
      </c>
      <c r="E312">
        <v>5</v>
      </c>
      <c r="F312" t="s">
        <v>136</v>
      </c>
      <c r="G312" s="4">
        <v>20.302015999999998</v>
      </c>
      <c r="H312" s="4">
        <v>45</v>
      </c>
      <c r="I312" s="5">
        <v>3809</v>
      </c>
      <c r="J312" s="5">
        <v>118</v>
      </c>
      <c r="K312" t="s">
        <v>38</v>
      </c>
      <c r="L312" t="s">
        <v>38</v>
      </c>
      <c r="M312" t="s">
        <v>50</v>
      </c>
      <c r="N312" t="s">
        <v>50</v>
      </c>
      <c r="O312" t="s">
        <v>40</v>
      </c>
      <c r="P312" t="s">
        <v>41</v>
      </c>
      <c r="Q312" t="s">
        <v>42</v>
      </c>
      <c r="R312" t="s">
        <v>43</v>
      </c>
      <c r="S312" s="5">
        <v>1</v>
      </c>
      <c r="T312" s="5">
        <v>0</v>
      </c>
      <c r="U312" t="s">
        <v>57</v>
      </c>
      <c r="V312" t="s">
        <v>1069</v>
      </c>
      <c r="W312" s="5"/>
      <c r="X312" s="4"/>
      <c r="Y312" s="4"/>
      <c r="Z312" s="4"/>
      <c r="AA312" s="4">
        <f t="shared" si="12"/>
        <v>5.330012076660541</v>
      </c>
      <c r="AB312" s="6">
        <f t="shared" si="13"/>
        <v>0.45115591111111109</v>
      </c>
      <c r="AC312" s="6" t="str">
        <f t="shared" si="14"/>
        <v/>
      </c>
    </row>
    <row r="313" spans="1:29">
      <c r="A313" t="s">
        <v>1070</v>
      </c>
      <c r="B313" t="s">
        <v>1071</v>
      </c>
      <c r="C313" s="3">
        <v>45814</v>
      </c>
      <c r="D313">
        <v>2025</v>
      </c>
      <c r="E313">
        <v>6</v>
      </c>
      <c r="F313" t="s">
        <v>136</v>
      </c>
      <c r="G313" s="4">
        <v>24.501663000000001</v>
      </c>
      <c r="H313" s="4">
        <v>90</v>
      </c>
      <c r="I313" s="5">
        <v>3409</v>
      </c>
      <c r="J313" s="5">
        <v>125</v>
      </c>
      <c r="K313" t="s">
        <v>83</v>
      </c>
      <c r="L313" t="s">
        <v>83</v>
      </c>
      <c r="M313" t="s">
        <v>61</v>
      </c>
      <c r="N313" t="s">
        <v>61</v>
      </c>
      <c r="O313" t="s">
        <v>84</v>
      </c>
      <c r="P313" t="s">
        <v>84</v>
      </c>
      <c r="Q313" t="s">
        <v>42</v>
      </c>
      <c r="R313" t="s">
        <v>43</v>
      </c>
      <c r="S313" s="5">
        <v>1</v>
      </c>
      <c r="T313" s="5">
        <v>0</v>
      </c>
      <c r="U313" t="s">
        <v>57</v>
      </c>
      <c r="V313" t="s">
        <v>1072</v>
      </c>
      <c r="W313" s="5"/>
      <c r="X313" s="4"/>
      <c r="Y313" s="4"/>
      <c r="Z313" s="4"/>
      <c r="AA313" s="4">
        <f t="shared" si="12"/>
        <v>7.1873461425638014</v>
      </c>
      <c r="AB313" s="6">
        <f t="shared" si="13"/>
        <v>0.2722407</v>
      </c>
      <c r="AC313" s="6" t="str">
        <f t="shared" si="14"/>
        <v/>
      </c>
    </row>
    <row r="314" spans="1:29">
      <c r="A314" t="s">
        <v>1073</v>
      </c>
      <c r="B314" t="s">
        <v>1074</v>
      </c>
      <c r="C314" s="3">
        <v>45821</v>
      </c>
      <c r="D314">
        <v>2025</v>
      </c>
      <c r="E314">
        <v>6</v>
      </c>
      <c r="F314" t="s">
        <v>136</v>
      </c>
      <c r="G314" s="4">
        <v>84.633314999999996</v>
      </c>
      <c r="H314" s="4">
        <v>150</v>
      </c>
      <c r="I314" s="5">
        <v>4356</v>
      </c>
      <c r="J314" s="5">
        <v>125</v>
      </c>
      <c r="K314" t="s">
        <v>48</v>
      </c>
      <c r="L314" t="s">
        <v>49</v>
      </c>
      <c r="M314" t="s">
        <v>72</v>
      </c>
      <c r="N314" t="s">
        <v>72</v>
      </c>
      <c r="O314" t="s">
        <v>68</v>
      </c>
      <c r="P314" t="s">
        <v>68</v>
      </c>
      <c r="Q314" t="s">
        <v>42</v>
      </c>
      <c r="R314" t="s">
        <v>43</v>
      </c>
      <c r="S314" s="5">
        <v>1</v>
      </c>
      <c r="T314" s="5">
        <v>0</v>
      </c>
      <c r="U314" t="s">
        <v>57</v>
      </c>
      <c r="V314" t="s">
        <v>1075</v>
      </c>
      <c r="W314" s="5"/>
      <c r="X314" s="4"/>
      <c r="Y314" s="4"/>
      <c r="Z314" s="4"/>
      <c r="AA314" s="4">
        <f t="shared" si="12"/>
        <v>19.429135674931128</v>
      </c>
      <c r="AB314" s="6">
        <f t="shared" si="13"/>
        <v>0.56422209999999995</v>
      </c>
      <c r="AC314" s="6" t="str">
        <f t="shared" si="14"/>
        <v/>
      </c>
    </row>
    <row r="315" spans="1:29">
      <c r="A315" t="s">
        <v>1076</v>
      </c>
      <c r="B315" t="s">
        <v>1077</v>
      </c>
      <c r="C315" s="3">
        <v>45821</v>
      </c>
      <c r="D315">
        <v>2025</v>
      </c>
      <c r="E315">
        <v>6</v>
      </c>
      <c r="F315" t="s">
        <v>136</v>
      </c>
      <c r="G315" s="4">
        <v>11.338642</v>
      </c>
      <c r="H315" s="4">
        <v>20</v>
      </c>
      <c r="I315" s="5">
        <v>2844</v>
      </c>
      <c r="J315" s="5">
        <v>117</v>
      </c>
      <c r="K315" t="s">
        <v>83</v>
      </c>
      <c r="L315" t="s">
        <v>83</v>
      </c>
      <c r="M315" t="s">
        <v>93</v>
      </c>
      <c r="N315" t="s">
        <v>94</v>
      </c>
      <c r="O315" t="s">
        <v>226</v>
      </c>
      <c r="P315" t="s">
        <v>56</v>
      </c>
      <c r="Q315" t="s">
        <v>42</v>
      </c>
      <c r="R315" t="s">
        <v>43</v>
      </c>
      <c r="S315" s="5">
        <v>1</v>
      </c>
      <c r="T315" s="5">
        <v>0</v>
      </c>
      <c r="U315" t="s">
        <v>57</v>
      </c>
      <c r="V315" t="s">
        <v>1078</v>
      </c>
      <c r="W315" s="5"/>
      <c r="X315" s="4"/>
      <c r="Y315" s="4"/>
      <c r="Z315" s="4"/>
      <c r="AA315" s="4">
        <f t="shared" si="12"/>
        <v>3.986864275668073</v>
      </c>
      <c r="AB315" s="6">
        <f t="shared" si="13"/>
        <v>0.56693210000000005</v>
      </c>
      <c r="AC315" s="6" t="str">
        <f t="shared" si="14"/>
        <v/>
      </c>
    </row>
    <row r="316" spans="1:29">
      <c r="A316" t="s">
        <v>1079</v>
      </c>
      <c r="B316" t="s">
        <v>1080</v>
      </c>
      <c r="C316" s="3">
        <v>45828</v>
      </c>
      <c r="D316">
        <v>2025</v>
      </c>
      <c r="E316">
        <v>6</v>
      </c>
      <c r="F316" t="s">
        <v>136</v>
      </c>
      <c r="G316" s="4">
        <v>30.002966000000001</v>
      </c>
      <c r="H316" s="4">
        <v>60</v>
      </c>
      <c r="I316" s="5">
        <v>3444</v>
      </c>
      <c r="J316" s="5">
        <v>115</v>
      </c>
      <c r="K316" t="s">
        <v>83</v>
      </c>
      <c r="L316" t="s">
        <v>83</v>
      </c>
      <c r="M316" t="s">
        <v>39</v>
      </c>
      <c r="N316" t="s">
        <v>39</v>
      </c>
      <c r="O316" t="s">
        <v>40</v>
      </c>
      <c r="P316" t="s">
        <v>41</v>
      </c>
      <c r="Q316" t="s">
        <v>199</v>
      </c>
      <c r="R316" t="s">
        <v>64</v>
      </c>
      <c r="S316" s="5">
        <v>1</v>
      </c>
      <c r="T316" s="5">
        <v>0</v>
      </c>
      <c r="U316" t="s">
        <v>57</v>
      </c>
      <c r="V316" t="s">
        <v>1081</v>
      </c>
      <c r="W316" s="5"/>
      <c r="X316" s="4"/>
      <c r="Y316" s="4"/>
      <c r="Z316" s="4"/>
      <c r="AA316" s="4">
        <f t="shared" si="12"/>
        <v>8.711662601626017</v>
      </c>
      <c r="AB316" s="6">
        <f t="shared" si="13"/>
        <v>0.50004943333333329</v>
      </c>
      <c r="AC316" s="6" t="str">
        <f t="shared" si="14"/>
        <v/>
      </c>
    </row>
    <row r="317" spans="1:29">
      <c r="A317" t="s">
        <v>1082</v>
      </c>
      <c r="B317" t="s">
        <v>1083</v>
      </c>
      <c r="C317" s="3">
        <v>45828</v>
      </c>
      <c r="D317">
        <v>2025</v>
      </c>
      <c r="E317">
        <v>6</v>
      </c>
      <c r="F317" t="s">
        <v>136</v>
      </c>
      <c r="G317" s="4">
        <v>20.840667</v>
      </c>
      <c r="H317" s="4">
        <v>150</v>
      </c>
      <c r="I317" s="5">
        <v>3750</v>
      </c>
      <c r="J317" s="5">
        <v>98</v>
      </c>
      <c r="K317" t="s">
        <v>48</v>
      </c>
      <c r="L317" t="s">
        <v>49</v>
      </c>
      <c r="M317" t="s">
        <v>72</v>
      </c>
      <c r="N317" t="s">
        <v>72</v>
      </c>
      <c r="O317" t="s">
        <v>107</v>
      </c>
      <c r="P317" t="s">
        <v>74</v>
      </c>
      <c r="Q317" t="s">
        <v>42</v>
      </c>
      <c r="R317" t="s">
        <v>43</v>
      </c>
      <c r="S317" s="5">
        <v>1</v>
      </c>
      <c r="T317" s="5">
        <v>0</v>
      </c>
      <c r="U317" t="s">
        <v>57</v>
      </c>
      <c r="V317" t="s">
        <v>1084</v>
      </c>
      <c r="W317" s="5"/>
      <c r="X317" s="4"/>
      <c r="Y317" s="4"/>
      <c r="Z317" s="4"/>
      <c r="AA317" s="4">
        <f t="shared" si="12"/>
        <v>5.5575112000000004</v>
      </c>
      <c r="AB317" s="6">
        <f t="shared" si="13"/>
        <v>0.13893778000000001</v>
      </c>
      <c r="AC317" s="6" t="str">
        <f t="shared" si="14"/>
        <v/>
      </c>
    </row>
    <row r="318" spans="1:29">
      <c r="A318" t="s">
        <v>1085</v>
      </c>
      <c r="B318" t="s">
        <v>1086</v>
      </c>
      <c r="C318" s="3">
        <v>45835</v>
      </c>
      <c r="D318">
        <v>2025</v>
      </c>
      <c r="E318">
        <v>6</v>
      </c>
      <c r="F318" t="s">
        <v>136</v>
      </c>
      <c r="G318" s="4">
        <v>10.201625</v>
      </c>
      <c r="H318" s="4">
        <v>25</v>
      </c>
      <c r="I318" s="5">
        <v>3112</v>
      </c>
      <c r="J318" s="5">
        <v>120</v>
      </c>
      <c r="K318" t="s">
        <v>38</v>
      </c>
      <c r="L318" t="s">
        <v>38</v>
      </c>
      <c r="M318" t="s">
        <v>39</v>
      </c>
      <c r="N318" t="s">
        <v>39</v>
      </c>
      <c r="O318" t="s">
        <v>68</v>
      </c>
      <c r="P318" t="s">
        <v>68</v>
      </c>
      <c r="Q318" t="s">
        <v>42</v>
      </c>
      <c r="R318" t="s">
        <v>43</v>
      </c>
      <c r="S318" s="5">
        <v>1</v>
      </c>
      <c r="T318" s="5">
        <v>0</v>
      </c>
      <c r="U318" t="s">
        <v>57</v>
      </c>
      <c r="V318" t="s">
        <v>1087</v>
      </c>
      <c r="W318" s="5"/>
      <c r="X318" s="4"/>
      <c r="Y318" s="4"/>
      <c r="Z318" s="4"/>
      <c r="AA318" s="4">
        <f t="shared" si="12"/>
        <v>3.2781571336760926</v>
      </c>
      <c r="AB318" s="6">
        <f t="shared" si="13"/>
        <v>0.40806500000000001</v>
      </c>
      <c r="AC318" s="6" t="str">
        <f t="shared" si="14"/>
        <v/>
      </c>
    </row>
    <row r="319" spans="1:29">
      <c r="A319" t="s">
        <v>1088</v>
      </c>
      <c r="B319" t="s">
        <v>1089</v>
      </c>
      <c r="C319" s="3">
        <v>45849</v>
      </c>
      <c r="D319">
        <v>2025</v>
      </c>
      <c r="E319">
        <v>7</v>
      </c>
      <c r="F319" t="s">
        <v>222</v>
      </c>
      <c r="G319" s="4">
        <v>125.02173500000001</v>
      </c>
      <c r="H319" s="4">
        <v>225</v>
      </c>
      <c r="I319" s="5">
        <v>4135</v>
      </c>
      <c r="J319" s="5">
        <v>129</v>
      </c>
      <c r="K319" t="s">
        <v>38</v>
      </c>
      <c r="L319" t="s">
        <v>38</v>
      </c>
      <c r="M319" t="s">
        <v>61</v>
      </c>
      <c r="N319" t="s">
        <v>61</v>
      </c>
      <c r="O319" t="s">
        <v>140</v>
      </c>
      <c r="P319" t="s">
        <v>141</v>
      </c>
      <c r="Q319" t="s">
        <v>42</v>
      </c>
      <c r="R319" t="s">
        <v>43</v>
      </c>
      <c r="S319" s="5">
        <v>1</v>
      </c>
      <c r="T319" s="5">
        <v>0</v>
      </c>
      <c r="U319" t="s">
        <v>57</v>
      </c>
      <c r="V319" t="s">
        <v>1090</v>
      </c>
      <c r="W319" s="5"/>
      <c r="X319" s="4"/>
      <c r="Y319" s="4"/>
      <c r="Z319" s="4"/>
      <c r="AA319" s="4">
        <f t="shared" si="12"/>
        <v>30.235002418379686</v>
      </c>
      <c r="AB319" s="6">
        <f t="shared" si="13"/>
        <v>0.55565215555555558</v>
      </c>
      <c r="AC319" s="6" t="str">
        <f t="shared" si="14"/>
        <v/>
      </c>
    </row>
    <row r="320" spans="1:29">
      <c r="A320" t="s">
        <v>1091</v>
      </c>
      <c r="B320" t="s">
        <v>1092</v>
      </c>
      <c r="C320" s="3">
        <v>45856</v>
      </c>
      <c r="D320">
        <v>2025</v>
      </c>
      <c r="E320">
        <v>7</v>
      </c>
      <c r="F320" t="s">
        <v>222</v>
      </c>
      <c r="G320" s="4">
        <v>4.4047419999999997</v>
      </c>
      <c r="H320" s="4">
        <v>25</v>
      </c>
      <c r="I320" s="5">
        <v>2111</v>
      </c>
      <c r="J320" s="5">
        <v>148</v>
      </c>
      <c r="K320" t="s">
        <v>83</v>
      </c>
      <c r="L320" t="s">
        <v>83</v>
      </c>
      <c r="M320" t="s">
        <v>268</v>
      </c>
      <c r="N320" t="s">
        <v>94</v>
      </c>
      <c r="O320" t="s">
        <v>226</v>
      </c>
      <c r="P320" t="s">
        <v>56</v>
      </c>
      <c r="Q320" t="s">
        <v>42</v>
      </c>
      <c r="R320" t="s">
        <v>43</v>
      </c>
      <c r="S320" s="5">
        <v>1</v>
      </c>
      <c r="T320" s="5">
        <v>0</v>
      </c>
      <c r="U320" t="s">
        <v>57</v>
      </c>
      <c r="V320" t="s">
        <v>1093</v>
      </c>
      <c r="W320" s="5"/>
      <c r="X320" s="4"/>
      <c r="Y320" s="4"/>
      <c r="Z320" s="4"/>
      <c r="AA320" s="4">
        <f t="shared" si="12"/>
        <v>2.086566556134533</v>
      </c>
      <c r="AB320" s="6">
        <f t="shared" si="13"/>
        <v>0.17618967999999999</v>
      </c>
      <c r="AC320" s="6" t="str">
        <f t="shared" si="14"/>
        <v/>
      </c>
    </row>
    <row r="321" spans="1:29">
      <c r="A321" t="s">
        <v>1094</v>
      </c>
      <c r="B321" t="s">
        <v>1095</v>
      </c>
      <c r="C321" s="3">
        <v>45856</v>
      </c>
      <c r="D321">
        <v>2025</v>
      </c>
      <c r="E321">
        <v>7</v>
      </c>
      <c r="F321" t="s">
        <v>222</v>
      </c>
      <c r="G321" s="4">
        <v>12.755359</v>
      </c>
      <c r="H321" s="4">
        <v>18</v>
      </c>
      <c r="I321" s="5">
        <v>3206</v>
      </c>
      <c r="J321" s="5">
        <v>111</v>
      </c>
      <c r="K321" t="s">
        <v>83</v>
      </c>
      <c r="L321" t="s">
        <v>83</v>
      </c>
      <c r="M321" t="s">
        <v>39</v>
      </c>
      <c r="N321" t="s">
        <v>39</v>
      </c>
      <c r="O321" t="s">
        <v>40</v>
      </c>
      <c r="P321" t="s">
        <v>41</v>
      </c>
      <c r="Q321" t="s">
        <v>42</v>
      </c>
      <c r="R321" t="s">
        <v>43</v>
      </c>
      <c r="S321" s="5">
        <v>1</v>
      </c>
      <c r="T321" s="5">
        <v>0</v>
      </c>
      <c r="U321" t="s">
        <v>57</v>
      </c>
      <c r="V321" t="s">
        <v>1096</v>
      </c>
      <c r="W321" s="5"/>
      <c r="X321" s="4"/>
      <c r="Y321" s="4"/>
      <c r="Z321" s="4"/>
      <c r="AA321" s="4">
        <f t="shared" si="12"/>
        <v>3.9785898315658144</v>
      </c>
      <c r="AB321" s="6">
        <f t="shared" si="13"/>
        <v>0.70863105555555561</v>
      </c>
      <c r="AC321" s="6" t="str">
        <f t="shared" si="14"/>
        <v/>
      </c>
    </row>
    <row r="322" spans="1:29">
      <c r="A322" t="s">
        <v>1097</v>
      </c>
      <c r="B322" t="s">
        <v>1098</v>
      </c>
      <c r="C322" s="3">
        <v>45856</v>
      </c>
      <c r="D322">
        <v>2025</v>
      </c>
      <c r="E322">
        <v>7</v>
      </c>
      <c r="F322" t="s">
        <v>222</v>
      </c>
      <c r="G322" s="4">
        <v>11.075089999999999</v>
      </c>
      <c r="H322" s="4">
        <v>58</v>
      </c>
      <c r="I322" s="5">
        <v>3504</v>
      </c>
      <c r="J322" s="5">
        <v>92</v>
      </c>
      <c r="K322" t="s">
        <v>48</v>
      </c>
      <c r="L322" t="s">
        <v>49</v>
      </c>
      <c r="M322" t="s">
        <v>72</v>
      </c>
      <c r="N322" t="s">
        <v>72</v>
      </c>
      <c r="O322" t="s">
        <v>95</v>
      </c>
      <c r="P322" t="s">
        <v>96</v>
      </c>
      <c r="Q322" t="s">
        <v>42</v>
      </c>
      <c r="R322" t="s">
        <v>43</v>
      </c>
      <c r="S322" s="5">
        <v>1</v>
      </c>
      <c r="T322" s="5">
        <v>0</v>
      </c>
      <c r="U322" t="s">
        <v>57</v>
      </c>
      <c r="V322" t="s">
        <v>1099</v>
      </c>
      <c r="W322" s="5"/>
      <c r="X322" s="4"/>
      <c r="Y322" s="4"/>
      <c r="Z322" s="4"/>
      <c r="AA322" s="4">
        <f t="shared" ref="AA322:AA360" si="15">IFERROR(G322*1000/I322,"")</f>
        <v>3.1606992009132422</v>
      </c>
      <c r="AB322" s="6">
        <f t="shared" ref="AB322:AB360" si="16">IFERROR(G322/H322,"")</f>
        <v>0.19094982758620688</v>
      </c>
      <c r="AC322" s="6" t="str">
        <f t="shared" ref="AC322:AC360" si="17">IF(Z322="","",Z322/H322)</f>
        <v/>
      </c>
    </row>
    <row r="323" spans="1:29">
      <c r="A323" t="s">
        <v>1100</v>
      </c>
      <c r="B323" t="s">
        <v>1101</v>
      </c>
      <c r="C323" s="3">
        <v>45863</v>
      </c>
      <c r="D323">
        <v>2025</v>
      </c>
      <c r="E323">
        <v>7</v>
      </c>
      <c r="F323" t="s">
        <v>222</v>
      </c>
      <c r="G323" s="4">
        <v>117.644828</v>
      </c>
      <c r="H323" s="4">
        <v>200</v>
      </c>
      <c r="I323" s="5">
        <v>4125</v>
      </c>
      <c r="J323" s="5">
        <v>115</v>
      </c>
      <c r="K323" t="s">
        <v>38</v>
      </c>
      <c r="L323" t="s">
        <v>38</v>
      </c>
      <c r="M323" t="s">
        <v>61</v>
      </c>
      <c r="N323" t="s">
        <v>61</v>
      </c>
      <c r="O323" t="s">
        <v>107</v>
      </c>
      <c r="P323" t="s">
        <v>74</v>
      </c>
      <c r="Q323" t="s">
        <v>42</v>
      </c>
      <c r="R323" t="s">
        <v>43</v>
      </c>
      <c r="S323" s="5">
        <v>1</v>
      </c>
      <c r="T323" s="5">
        <v>0</v>
      </c>
      <c r="U323" t="s">
        <v>57</v>
      </c>
      <c r="V323" t="s">
        <v>1102</v>
      </c>
      <c r="W323" s="5"/>
      <c r="X323" s="4"/>
      <c r="Y323" s="4"/>
      <c r="Z323" s="4"/>
      <c r="AA323" s="4">
        <f t="shared" si="15"/>
        <v>28.519958303030304</v>
      </c>
      <c r="AB323" s="6">
        <f t="shared" si="16"/>
        <v>0.58822414000000001</v>
      </c>
      <c r="AC323" s="6" t="str">
        <f t="shared" si="17"/>
        <v/>
      </c>
    </row>
    <row r="324" spans="1:29">
      <c r="A324" t="s">
        <v>1103</v>
      </c>
      <c r="B324" t="s">
        <v>1104</v>
      </c>
      <c r="C324" s="3">
        <v>45870</v>
      </c>
      <c r="D324">
        <v>2025</v>
      </c>
      <c r="E324">
        <v>8</v>
      </c>
      <c r="F324" t="s">
        <v>222</v>
      </c>
      <c r="G324" s="4">
        <v>16.80556</v>
      </c>
      <c r="H324" s="4">
        <v>42</v>
      </c>
      <c r="I324" s="5">
        <v>3344</v>
      </c>
      <c r="J324" s="5">
        <v>85</v>
      </c>
      <c r="K324" t="s">
        <v>38</v>
      </c>
      <c r="L324" t="s">
        <v>38</v>
      </c>
      <c r="M324" t="s">
        <v>94</v>
      </c>
      <c r="N324" t="s">
        <v>94</v>
      </c>
      <c r="O324" t="s">
        <v>95</v>
      </c>
      <c r="P324" t="s">
        <v>96</v>
      </c>
      <c r="Q324" t="s">
        <v>42</v>
      </c>
      <c r="R324" t="s">
        <v>43</v>
      </c>
      <c r="S324" s="5">
        <v>0</v>
      </c>
      <c r="T324" s="5">
        <v>0</v>
      </c>
      <c r="U324" t="s">
        <v>57</v>
      </c>
      <c r="V324" t="s">
        <v>1105</v>
      </c>
      <c r="W324" s="5"/>
      <c r="X324" s="4"/>
      <c r="Y324" s="4"/>
      <c r="Z324" s="4"/>
      <c r="AA324" s="4">
        <f t="shared" si="15"/>
        <v>5.0255861244019142</v>
      </c>
      <c r="AB324" s="6">
        <f t="shared" si="16"/>
        <v>0.40013238095238096</v>
      </c>
      <c r="AC324" s="6" t="str">
        <f t="shared" si="17"/>
        <v/>
      </c>
    </row>
    <row r="325" spans="1:29">
      <c r="A325" t="s">
        <v>1106</v>
      </c>
      <c r="B325" t="s">
        <v>1107</v>
      </c>
      <c r="C325" s="3">
        <v>45875</v>
      </c>
      <c r="D325">
        <v>2025</v>
      </c>
      <c r="E325">
        <v>8</v>
      </c>
      <c r="F325" t="s">
        <v>222</v>
      </c>
      <c r="G325" s="4">
        <v>2.4383360000000001</v>
      </c>
      <c r="H325" s="4">
        <v>3</v>
      </c>
      <c r="I325" s="5">
        <v>2157</v>
      </c>
      <c r="J325" s="5">
        <v>92</v>
      </c>
      <c r="K325" t="s">
        <v>48</v>
      </c>
      <c r="L325" t="s">
        <v>49</v>
      </c>
      <c r="M325" t="s">
        <v>94</v>
      </c>
      <c r="N325" t="s">
        <v>94</v>
      </c>
      <c r="O325" t="s">
        <v>595</v>
      </c>
      <c r="P325" t="s">
        <v>56</v>
      </c>
      <c r="Q325" t="s">
        <v>42</v>
      </c>
      <c r="R325" t="s">
        <v>43</v>
      </c>
      <c r="S325" s="5">
        <v>0</v>
      </c>
      <c r="T325" s="5">
        <v>0</v>
      </c>
      <c r="U325" t="s">
        <v>57</v>
      </c>
      <c r="V325" t="s">
        <v>1108</v>
      </c>
      <c r="W325" s="5"/>
      <c r="X325" s="4"/>
      <c r="Y325" s="4"/>
      <c r="Z325" s="4"/>
      <c r="AA325" s="4">
        <f t="shared" si="15"/>
        <v>1.1304292999536394</v>
      </c>
      <c r="AB325" s="6">
        <f t="shared" si="16"/>
        <v>0.81277866666666665</v>
      </c>
      <c r="AC325" s="6" t="str">
        <f t="shared" si="17"/>
        <v/>
      </c>
    </row>
    <row r="326" spans="1:29">
      <c r="A326" t="s">
        <v>1109</v>
      </c>
      <c r="B326" t="s">
        <v>1110</v>
      </c>
      <c r="C326" s="3">
        <v>45877</v>
      </c>
      <c r="D326">
        <v>2025</v>
      </c>
      <c r="E326">
        <v>8</v>
      </c>
      <c r="F326" t="s">
        <v>222</v>
      </c>
      <c r="G326" s="4">
        <v>28.583167</v>
      </c>
      <c r="H326" s="4">
        <v>42</v>
      </c>
      <c r="I326" s="5">
        <v>3975</v>
      </c>
      <c r="J326" s="5">
        <v>111</v>
      </c>
      <c r="K326" t="s">
        <v>48</v>
      </c>
      <c r="L326" t="s">
        <v>49</v>
      </c>
      <c r="M326" t="s">
        <v>94</v>
      </c>
      <c r="N326" t="s">
        <v>94</v>
      </c>
      <c r="O326" t="s">
        <v>107</v>
      </c>
      <c r="P326" t="s">
        <v>74</v>
      </c>
      <c r="Q326" t="s">
        <v>42</v>
      </c>
      <c r="R326" t="s">
        <v>43</v>
      </c>
      <c r="S326" s="5">
        <v>0</v>
      </c>
      <c r="T326" s="5">
        <v>0</v>
      </c>
      <c r="U326" t="s">
        <v>57</v>
      </c>
      <c r="V326" t="s">
        <v>1111</v>
      </c>
      <c r="W326" s="5"/>
      <c r="X326" s="4"/>
      <c r="Y326" s="4"/>
      <c r="Z326" s="4"/>
      <c r="AA326" s="4">
        <f t="shared" si="15"/>
        <v>7.190733836477988</v>
      </c>
      <c r="AB326" s="6">
        <f t="shared" si="16"/>
        <v>0.68055159523809527</v>
      </c>
      <c r="AC326" s="6" t="str">
        <f t="shared" si="17"/>
        <v/>
      </c>
    </row>
    <row r="327" spans="1:29">
      <c r="A327" t="s">
        <v>1112</v>
      </c>
      <c r="B327" t="s">
        <v>1113</v>
      </c>
      <c r="C327" s="3">
        <v>45877</v>
      </c>
      <c r="D327">
        <v>2025</v>
      </c>
      <c r="E327">
        <v>8</v>
      </c>
      <c r="F327" t="s">
        <v>222</v>
      </c>
      <c r="G327" s="4">
        <v>43.501216999999997</v>
      </c>
      <c r="H327" s="4">
        <v>38</v>
      </c>
      <c r="I327" s="5">
        <v>3202</v>
      </c>
      <c r="J327" s="5">
        <v>128</v>
      </c>
      <c r="K327" t="s">
        <v>83</v>
      </c>
      <c r="L327" t="s">
        <v>83</v>
      </c>
      <c r="M327" t="s">
        <v>39</v>
      </c>
      <c r="N327" t="s">
        <v>39</v>
      </c>
      <c r="O327" t="s">
        <v>140</v>
      </c>
      <c r="P327" t="s">
        <v>141</v>
      </c>
      <c r="Q327" t="s">
        <v>42</v>
      </c>
      <c r="R327" t="s">
        <v>43</v>
      </c>
      <c r="S327" s="5">
        <v>0</v>
      </c>
      <c r="T327" s="5">
        <v>0</v>
      </c>
      <c r="U327" t="s">
        <v>57</v>
      </c>
      <c r="V327" t="s">
        <v>1114</v>
      </c>
      <c r="W327" s="5"/>
      <c r="X327" s="4"/>
      <c r="Y327" s="4"/>
      <c r="Z327" s="4"/>
      <c r="AA327" s="4">
        <f t="shared" si="15"/>
        <v>13.585639287945034</v>
      </c>
      <c r="AB327" s="6">
        <f t="shared" si="16"/>
        <v>1.1447688684210526</v>
      </c>
      <c r="AC327" s="6" t="str">
        <f t="shared" si="17"/>
        <v/>
      </c>
    </row>
    <row r="328" spans="1:29">
      <c r="A328" t="s">
        <v>1115</v>
      </c>
      <c r="B328" t="s">
        <v>1116</v>
      </c>
      <c r="C328" s="3">
        <v>45891</v>
      </c>
      <c r="D328">
        <v>2025</v>
      </c>
      <c r="E328">
        <v>8</v>
      </c>
      <c r="F328" t="s">
        <v>222</v>
      </c>
      <c r="G328" s="4">
        <v>1.0483739999999999</v>
      </c>
      <c r="H328" s="4">
        <v>55</v>
      </c>
      <c r="I328" s="5">
        <v>664</v>
      </c>
      <c r="J328" s="5">
        <v>129</v>
      </c>
      <c r="K328" t="s">
        <v>83</v>
      </c>
      <c r="L328" t="s">
        <v>83</v>
      </c>
      <c r="M328" t="s">
        <v>54</v>
      </c>
      <c r="N328" t="s">
        <v>54</v>
      </c>
      <c r="O328" t="s">
        <v>1117</v>
      </c>
      <c r="P328" t="s">
        <v>56</v>
      </c>
      <c r="Q328" t="s">
        <v>42</v>
      </c>
      <c r="R328" t="s">
        <v>43</v>
      </c>
      <c r="S328" s="5">
        <v>0</v>
      </c>
      <c r="T328" s="5">
        <v>0</v>
      </c>
      <c r="U328" t="s">
        <v>57</v>
      </c>
      <c r="V328" t="s">
        <v>1118</v>
      </c>
      <c r="W328" s="5"/>
      <c r="X328" s="4"/>
      <c r="Y328" s="4"/>
      <c r="Z328" s="4"/>
      <c r="AA328" s="4">
        <f t="shared" si="15"/>
        <v>1.5788765060240963</v>
      </c>
      <c r="AB328" s="6">
        <f t="shared" si="16"/>
        <v>1.9061345454545454E-2</v>
      </c>
      <c r="AC328" s="6" t="str">
        <f t="shared" si="17"/>
        <v/>
      </c>
    </row>
    <row r="329" spans="1:29">
      <c r="A329" t="s">
        <v>1119</v>
      </c>
      <c r="B329" t="s">
        <v>1120</v>
      </c>
      <c r="C329" s="3">
        <v>45898</v>
      </c>
      <c r="D329">
        <v>2025</v>
      </c>
      <c r="E329">
        <v>8</v>
      </c>
      <c r="F329" t="s">
        <v>222</v>
      </c>
      <c r="G329" s="4">
        <v>2.4013740000000001</v>
      </c>
      <c r="H329" s="4">
        <v>20</v>
      </c>
      <c r="I329" s="5">
        <v>2075</v>
      </c>
      <c r="J329" s="5">
        <v>84</v>
      </c>
      <c r="K329" t="s">
        <v>48</v>
      </c>
      <c r="L329" t="s">
        <v>49</v>
      </c>
      <c r="M329" t="s">
        <v>50</v>
      </c>
      <c r="N329" t="s">
        <v>50</v>
      </c>
      <c r="O329" t="s">
        <v>1121</v>
      </c>
      <c r="P329" t="s">
        <v>56</v>
      </c>
      <c r="Q329" t="s">
        <v>42</v>
      </c>
      <c r="R329" t="s">
        <v>43</v>
      </c>
      <c r="S329" s="5">
        <v>0</v>
      </c>
      <c r="T329" s="5">
        <v>0</v>
      </c>
      <c r="U329" t="s">
        <v>57</v>
      </c>
      <c r="V329" t="s">
        <v>1122</v>
      </c>
      <c r="W329" s="5"/>
      <c r="X329" s="4"/>
      <c r="Y329" s="4"/>
      <c r="Z329" s="4"/>
      <c r="AA329" s="4">
        <f t="shared" si="15"/>
        <v>1.1572886746987954</v>
      </c>
      <c r="AB329" s="6">
        <f t="shared" si="16"/>
        <v>0.1200687</v>
      </c>
      <c r="AC329" s="6" t="str">
        <f t="shared" si="17"/>
        <v/>
      </c>
    </row>
    <row r="330" spans="1:29">
      <c r="A330" t="s">
        <v>1123</v>
      </c>
      <c r="B330" t="s">
        <v>1124</v>
      </c>
      <c r="C330" s="3">
        <v>45898</v>
      </c>
      <c r="D330">
        <v>2025</v>
      </c>
      <c r="E330">
        <v>8</v>
      </c>
      <c r="F330" t="s">
        <v>222</v>
      </c>
      <c r="G330" s="4">
        <v>84.006120999999993</v>
      </c>
      <c r="H330" s="4">
        <v>55</v>
      </c>
      <c r="I330" s="5">
        <v>3802</v>
      </c>
      <c r="J330" s="5">
        <v>135</v>
      </c>
      <c r="K330" t="s">
        <v>83</v>
      </c>
      <c r="L330" t="s">
        <v>83</v>
      </c>
      <c r="M330" t="s">
        <v>39</v>
      </c>
      <c r="N330" t="s">
        <v>39</v>
      </c>
      <c r="O330" t="s">
        <v>140</v>
      </c>
      <c r="P330" t="s">
        <v>141</v>
      </c>
      <c r="Q330" t="s">
        <v>662</v>
      </c>
      <c r="R330" t="s">
        <v>64</v>
      </c>
      <c r="S330" s="5">
        <v>0</v>
      </c>
      <c r="T330" s="5">
        <v>0</v>
      </c>
      <c r="U330" t="s">
        <v>57</v>
      </c>
      <c r="V330" t="s">
        <v>1125</v>
      </c>
      <c r="W330" s="5"/>
      <c r="X330" s="4"/>
      <c r="Y330" s="4"/>
      <c r="Z330" s="4"/>
      <c r="AA330" s="4">
        <f t="shared" si="15"/>
        <v>22.095244871120464</v>
      </c>
      <c r="AB330" s="6">
        <f t="shared" si="16"/>
        <v>1.5273840181818181</v>
      </c>
      <c r="AC330" s="6" t="str">
        <f t="shared" si="17"/>
        <v/>
      </c>
    </row>
    <row r="331" spans="1:29">
      <c r="A331" t="s">
        <v>1126</v>
      </c>
      <c r="B331" t="s">
        <v>1127</v>
      </c>
      <c r="C331" s="3">
        <v>45898</v>
      </c>
      <c r="D331">
        <v>2025</v>
      </c>
      <c r="E331">
        <v>8</v>
      </c>
      <c r="F331" t="s">
        <v>222</v>
      </c>
      <c r="G331" s="4">
        <v>6.2652640000000002</v>
      </c>
      <c r="H331" s="4">
        <v>30</v>
      </c>
      <c r="I331" s="5">
        <v>2700</v>
      </c>
      <c r="J331" s="5">
        <v>105</v>
      </c>
      <c r="K331" t="s">
        <v>83</v>
      </c>
      <c r="L331" t="s">
        <v>83</v>
      </c>
      <c r="M331" t="s">
        <v>268</v>
      </c>
      <c r="N331" t="s">
        <v>94</v>
      </c>
      <c r="O331" t="s">
        <v>1128</v>
      </c>
      <c r="P331" t="s">
        <v>56</v>
      </c>
      <c r="Q331" t="s">
        <v>199</v>
      </c>
      <c r="R331" t="s">
        <v>64</v>
      </c>
      <c r="S331" s="5">
        <v>0</v>
      </c>
      <c r="T331" s="5">
        <v>0</v>
      </c>
      <c r="U331" t="s">
        <v>57</v>
      </c>
      <c r="V331" t="s">
        <v>1129</v>
      </c>
      <c r="W331" s="5"/>
      <c r="X331" s="4"/>
      <c r="Y331" s="4"/>
      <c r="Z331" s="4"/>
      <c r="AA331" s="4">
        <f t="shared" si="15"/>
        <v>2.3204681481481484</v>
      </c>
      <c r="AB331" s="6">
        <f t="shared" si="16"/>
        <v>0.20884213333333335</v>
      </c>
      <c r="AC331" s="6" t="str">
        <f t="shared" si="17"/>
        <v/>
      </c>
    </row>
    <row r="332" spans="1:29">
      <c r="A332" t="s">
        <v>1130</v>
      </c>
      <c r="B332" t="s">
        <v>1131</v>
      </c>
      <c r="C332" s="3">
        <v>45919</v>
      </c>
      <c r="D332">
        <v>2025</v>
      </c>
      <c r="E332">
        <v>9</v>
      </c>
      <c r="F332" t="s">
        <v>222</v>
      </c>
      <c r="G332" s="4">
        <v>13.25156</v>
      </c>
      <c r="H332" s="4">
        <v>27</v>
      </c>
      <c r="I332" s="5">
        <v>3168</v>
      </c>
      <c r="J332" s="5">
        <v>96</v>
      </c>
      <c r="K332" t="s">
        <v>83</v>
      </c>
      <c r="L332" t="s">
        <v>83</v>
      </c>
      <c r="M332" t="s">
        <v>39</v>
      </c>
      <c r="N332" t="s">
        <v>39</v>
      </c>
      <c r="O332" t="s">
        <v>68</v>
      </c>
      <c r="P332" t="s">
        <v>68</v>
      </c>
      <c r="Q332" t="s">
        <v>42</v>
      </c>
      <c r="R332" t="s">
        <v>43</v>
      </c>
      <c r="S332" s="5">
        <v>0</v>
      </c>
      <c r="T332" s="5">
        <v>0</v>
      </c>
      <c r="U332" t="s">
        <v>57</v>
      </c>
      <c r="V332" t="s">
        <v>1132</v>
      </c>
      <c r="W332" s="5"/>
      <c r="X332" s="4"/>
      <c r="Y332" s="4"/>
      <c r="Z332" s="4"/>
      <c r="AA332" s="4">
        <f t="shared" si="15"/>
        <v>4.1829419191919186</v>
      </c>
      <c r="AB332" s="6">
        <f t="shared" si="16"/>
        <v>0.49079851851851852</v>
      </c>
      <c r="AC332" s="6" t="str">
        <f t="shared" si="17"/>
        <v/>
      </c>
    </row>
    <row r="333" spans="1:29">
      <c r="A333" t="s">
        <v>1133</v>
      </c>
      <c r="B333" t="s">
        <v>1134</v>
      </c>
      <c r="C333" s="3">
        <v>45926</v>
      </c>
      <c r="D333">
        <v>2025</v>
      </c>
      <c r="E333">
        <v>9</v>
      </c>
      <c r="F333" t="s">
        <v>222</v>
      </c>
      <c r="G333" s="4">
        <v>13.697595</v>
      </c>
      <c r="H333" s="4">
        <v>32</v>
      </c>
      <c r="I333" s="5">
        <v>3500</v>
      </c>
      <c r="J333" s="5">
        <v>85</v>
      </c>
      <c r="K333" t="s">
        <v>1135</v>
      </c>
      <c r="L333" t="s">
        <v>49</v>
      </c>
      <c r="M333" t="s">
        <v>362</v>
      </c>
      <c r="N333" t="s">
        <v>56</v>
      </c>
      <c r="O333" t="s">
        <v>68</v>
      </c>
      <c r="P333" t="s">
        <v>68</v>
      </c>
      <c r="Q333" t="s">
        <v>248</v>
      </c>
      <c r="R333" t="s">
        <v>64</v>
      </c>
      <c r="S333" s="5">
        <v>0</v>
      </c>
      <c r="T333" s="5">
        <v>0</v>
      </c>
      <c r="U333" t="s">
        <v>57</v>
      </c>
      <c r="V333" t="s">
        <v>1136</v>
      </c>
      <c r="W333" s="5"/>
      <c r="X333" s="4"/>
      <c r="Y333" s="4"/>
      <c r="Z333" s="4"/>
      <c r="AA333" s="4">
        <f t="shared" si="15"/>
        <v>3.913598571428571</v>
      </c>
      <c r="AB333" s="6">
        <f t="shared" si="16"/>
        <v>0.42804984374999999</v>
      </c>
      <c r="AC333" s="6" t="str">
        <f t="shared" si="17"/>
        <v/>
      </c>
    </row>
    <row r="334" spans="1:29">
      <c r="A334" t="s">
        <v>1137</v>
      </c>
      <c r="B334" t="s">
        <v>1138</v>
      </c>
      <c r="C334" s="3">
        <v>45933</v>
      </c>
      <c r="D334">
        <v>2025</v>
      </c>
      <c r="E334">
        <v>10</v>
      </c>
      <c r="F334" t="s">
        <v>302</v>
      </c>
      <c r="G334" s="4">
        <v>5.8416620000000004</v>
      </c>
      <c r="H334" s="4">
        <v>50</v>
      </c>
      <c r="I334" s="5">
        <v>3345</v>
      </c>
      <c r="J334" s="5">
        <v>123</v>
      </c>
      <c r="K334" t="s">
        <v>83</v>
      </c>
      <c r="L334" t="s">
        <v>83</v>
      </c>
      <c r="M334" t="s">
        <v>50</v>
      </c>
      <c r="N334" t="s">
        <v>50</v>
      </c>
      <c r="O334" t="s">
        <v>226</v>
      </c>
      <c r="P334" t="s">
        <v>56</v>
      </c>
      <c r="Q334" t="s">
        <v>42</v>
      </c>
      <c r="R334" t="s">
        <v>43</v>
      </c>
      <c r="S334" s="5">
        <v>0</v>
      </c>
      <c r="T334" s="5">
        <v>0</v>
      </c>
      <c r="U334" t="s">
        <v>57</v>
      </c>
      <c r="V334" t="s">
        <v>1139</v>
      </c>
      <c r="W334" s="5"/>
      <c r="X334" s="4"/>
      <c r="Y334" s="4"/>
      <c r="Z334" s="4"/>
      <c r="AA334" s="4">
        <f t="shared" si="15"/>
        <v>1.7463862481315398</v>
      </c>
      <c r="AB334" s="6">
        <f t="shared" si="16"/>
        <v>0.11683324</v>
      </c>
      <c r="AC334" s="6" t="str">
        <f t="shared" si="17"/>
        <v/>
      </c>
    </row>
    <row r="335" spans="1:29">
      <c r="A335" t="s">
        <v>1140</v>
      </c>
      <c r="B335" t="s">
        <v>1141</v>
      </c>
      <c r="C335" s="3">
        <v>45940</v>
      </c>
      <c r="D335">
        <v>2025</v>
      </c>
      <c r="E335">
        <v>10</v>
      </c>
      <c r="F335" t="s">
        <v>302</v>
      </c>
      <c r="G335" s="4">
        <v>0.891046</v>
      </c>
      <c r="H335" s="4">
        <v>30</v>
      </c>
      <c r="I335" s="5">
        <v>1331</v>
      </c>
      <c r="J335" s="5">
        <v>128</v>
      </c>
      <c r="K335" t="s">
        <v>83</v>
      </c>
      <c r="L335" t="s">
        <v>83</v>
      </c>
      <c r="M335" t="s">
        <v>362</v>
      </c>
      <c r="N335" t="s">
        <v>56</v>
      </c>
      <c r="O335" t="s">
        <v>103</v>
      </c>
      <c r="P335" t="s">
        <v>56</v>
      </c>
      <c r="Q335" t="s">
        <v>42</v>
      </c>
      <c r="R335" t="s">
        <v>43</v>
      </c>
      <c r="S335" s="5">
        <v>0</v>
      </c>
      <c r="T335" s="5">
        <v>0</v>
      </c>
      <c r="U335" t="s">
        <v>57</v>
      </c>
      <c r="V335" t="s">
        <v>1142</v>
      </c>
      <c r="W335" s="5"/>
      <c r="X335" s="4"/>
      <c r="Y335" s="4"/>
      <c r="Z335" s="4"/>
      <c r="AA335" s="4">
        <f t="shared" si="15"/>
        <v>0.66945604808414727</v>
      </c>
      <c r="AB335" s="6">
        <f t="shared" si="16"/>
        <v>2.9701533333333332E-2</v>
      </c>
      <c r="AC335" s="6" t="str">
        <f t="shared" si="17"/>
        <v/>
      </c>
    </row>
    <row r="336" spans="1:29">
      <c r="A336" t="s">
        <v>1143</v>
      </c>
      <c r="B336" t="s">
        <v>1144</v>
      </c>
      <c r="C336" s="3">
        <v>45940</v>
      </c>
      <c r="D336">
        <v>2025</v>
      </c>
      <c r="E336">
        <v>10</v>
      </c>
      <c r="F336" t="s">
        <v>302</v>
      </c>
      <c r="G336" s="4">
        <v>8.1088609999999992</v>
      </c>
      <c r="H336" s="4">
        <v>19</v>
      </c>
      <c r="I336" s="5">
        <v>3362</v>
      </c>
      <c r="J336" s="5">
        <v>126</v>
      </c>
      <c r="K336" t="s">
        <v>83</v>
      </c>
      <c r="L336" t="s">
        <v>83</v>
      </c>
      <c r="M336" t="s">
        <v>268</v>
      </c>
      <c r="N336" t="s">
        <v>94</v>
      </c>
      <c r="O336" t="s">
        <v>95</v>
      </c>
      <c r="P336" t="s">
        <v>96</v>
      </c>
      <c r="Q336" t="s">
        <v>42</v>
      </c>
      <c r="R336" t="s">
        <v>43</v>
      </c>
      <c r="S336" s="5">
        <v>0</v>
      </c>
      <c r="T336" s="5">
        <v>0</v>
      </c>
      <c r="U336" t="s">
        <v>57</v>
      </c>
      <c r="V336" t="s">
        <v>1145</v>
      </c>
      <c r="W336" s="5"/>
      <c r="X336" s="4"/>
      <c r="Y336" s="4"/>
      <c r="Z336" s="4"/>
      <c r="AA336" s="4">
        <f t="shared" si="15"/>
        <v>2.4119158239143363</v>
      </c>
      <c r="AB336" s="6">
        <f t="shared" si="16"/>
        <v>0.42678215789473678</v>
      </c>
      <c r="AC336" s="6" t="str">
        <f t="shared" si="17"/>
        <v/>
      </c>
    </row>
    <row r="337" spans="1:29">
      <c r="A337" t="s">
        <v>1146</v>
      </c>
      <c r="B337" t="s">
        <v>1147</v>
      </c>
      <c r="C337" s="3">
        <v>45940</v>
      </c>
      <c r="D337">
        <v>2025</v>
      </c>
      <c r="E337">
        <v>10</v>
      </c>
      <c r="F337" t="s">
        <v>302</v>
      </c>
      <c r="G337" s="4">
        <v>33.241433000000001</v>
      </c>
      <c r="H337" s="4">
        <v>180</v>
      </c>
      <c r="I337" s="5">
        <v>4000</v>
      </c>
      <c r="J337" s="5">
        <v>119</v>
      </c>
      <c r="K337" t="s">
        <v>38</v>
      </c>
      <c r="L337" t="s">
        <v>38</v>
      </c>
      <c r="M337" t="s">
        <v>61</v>
      </c>
      <c r="N337" t="s">
        <v>61</v>
      </c>
      <c r="O337" t="s">
        <v>107</v>
      </c>
      <c r="P337" t="s">
        <v>74</v>
      </c>
      <c r="Q337" t="s">
        <v>42</v>
      </c>
      <c r="R337" t="s">
        <v>43</v>
      </c>
      <c r="S337" s="5">
        <v>0</v>
      </c>
      <c r="T337" s="5">
        <v>0</v>
      </c>
      <c r="U337" t="s">
        <v>57</v>
      </c>
      <c r="V337" t="s">
        <v>1148</v>
      </c>
      <c r="W337" s="5"/>
      <c r="X337" s="4"/>
      <c r="Y337" s="4"/>
      <c r="Z337" s="4"/>
      <c r="AA337" s="4">
        <f t="shared" si="15"/>
        <v>8.3103582500000002</v>
      </c>
      <c r="AB337" s="6">
        <f t="shared" si="16"/>
        <v>0.18467462777777779</v>
      </c>
      <c r="AC337" s="6" t="str">
        <f t="shared" si="17"/>
        <v/>
      </c>
    </row>
    <row r="338" spans="1:29">
      <c r="A338" t="s">
        <v>1149</v>
      </c>
      <c r="B338" t="s">
        <v>1150</v>
      </c>
      <c r="C338" s="3">
        <v>45947</v>
      </c>
      <c r="D338">
        <v>2025</v>
      </c>
      <c r="E338">
        <v>10</v>
      </c>
      <c r="F338" t="s">
        <v>302</v>
      </c>
      <c r="G338" s="4">
        <v>27.332039999999999</v>
      </c>
      <c r="H338" s="4">
        <v>30</v>
      </c>
      <c r="I338" s="5">
        <v>3411</v>
      </c>
      <c r="J338" s="5">
        <v>114</v>
      </c>
      <c r="K338" t="s">
        <v>83</v>
      </c>
      <c r="L338" t="s">
        <v>83</v>
      </c>
      <c r="M338" t="s">
        <v>39</v>
      </c>
      <c r="N338" t="s">
        <v>39</v>
      </c>
      <c r="O338" t="s">
        <v>68</v>
      </c>
      <c r="P338" t="s">
        <v>68</v>
      </c>
      <c r="Q338" t="s">
        <v>42</v>
      </c>
      <c r="R338" t="s">
        <v>43</v>
      </c>
      <c r="S338" s="5">
        <v>0</v>
      </c>
      <c r="T338" s="5">
        <v>0</v>
      </c>
      <c r="U338" t="s">
        <v>57</v>
      </c>
      <c r="V338" t="s">
        <v>1151</v>
      </c>
      <c r="W338" s="5"/>
      <c r="X338" s="4"/>
      <c r="Y338" s="4"/>
      <c r="Z338" s="4"/>
      <c r="AA338" s="4">
        <f t="shared" si="15"/>
        <v>8.0129111697449424</v>
      </c>
      <c r="AB338" s="6">
        <f t="shared" si="16"/>
        <v>0.91106799999999999</v>
      </c>
      <c r="AC338" s="6" t="str">
        <f t="shared" si="17"/>
        <v/>
      </c>
    </row>
    <row r="339" spans="1:29">
      <c r="A339" t="s">
        <v>1152</v>
      </c>
      <c r="B339" t="s">
        <v>1153</v>
      </c>
      <c r="C339" s="3">
        <v>45947</v>
      </c>
      <c r="D339">
        <v>2025</v>
      </c>
      <c r="E339">
        <v>10</v>
      </c>
      <c r="F339" t="s">
        <v>302</v>
      </c>
      <c r="G339" s="4">
        <v>6.1634330000000004</v>
      </c>
      <c r="H339" s="4">
        <v>30</v>
      </c>
      <c r="I339" s="5">
        <v>2990</v>
      </c>
      <c r="J339" s="5">
        <v>98</v>
      </c>
      <c r="K339" t="s">
        <v>83</v>
      </c>
      <c r="L339" t="s">
        <v>83</v>
      </c>
      <c r="M339" t="s">
        <v>94</v>
      </c>
      <c r="N339" t="s">
        <v>94</v>
      </c>
      <c r="O339" t="s">
        <v>84</v>
      </c>
      <c r="P339" t="s">
        <v>84</v>
      </c>
      <c r="Q339" t="s">
        <v>42</v>
      </c>
      <c r="R339" t="s">
        <v>43</v>
      </c>
      <c r="S339" s="5">
        <v>0</v>
      </c>
      <c r="T339" s="5">
        <v>0</v>
      </c>
      <c r="U339" t="s">
        <v>57</v>
      </c>
      <c r="V339" t="s">
        <v>1154</v>
      </c>
      <c r="W339" s="5"/>
      <c r="X339" s="4"/>
      <c r="Y339" s="4"/>
      <c r="Z339" s="4"/>
      <c r="AA339" s="4">
        <f t="shared" si="15"/>
        <v>2.0613488294314379</v>
      </c>
      <c r="AB339" s="6">
        <f t="shared" si="16"/>
        <v>0.20544776666666667</v>
      </c>
      <c r="AC339" s="6" t="str">
        <f t="shared" si="17"/>
        <v/>
      </c>
    </row>
    <row r="340" spans="1:29">
      <c r="A340" t="s">
        <v>1155</v>
      </c>
      <c r="B340" t="s">
        <v>1156</v>
      </c>
      <c r="C340" s="3">
        <v>45954</v>
      </c>
      <c r="D340">
        <v>2025</v>
      </c>
      <c r="E340">
        <v>10</v>
      </c>
      <c r="F340" t="s">
        <v>302</v>
      </c>
      <c r="G340" s="4">
        <v>13.687530000000001</v>
      </c>
      <c r="H340" s="4">
        <v>30</v>
      </c>
      <c r="I340" s="5">
        <v>3393</v>
      </c>
      <c r="J340" s="5">
        <v>116</v>
      </c>
      <c r="K340" t="s">
        <v>38</v>
      </c>
      <c r="L340" t="s">
        <v>38</v>
      </c>
      <c r="M340" t="s">
        <v>50</v>
      </c>
      <c r="N340" t="s">
        <v>50</v>
      </c>
      <c r="O340" t="s">
        <v>95</v>
      </c>
      <c r="P340" t="s">
        <v>96</v>
      </c>
      <c r="Q340" t="s">
        <v>916</v>
      </c>
      <c r="R340" t="s">
        <v>64</v>
      </c>
      <c r="S340" s="5">
        <v>0</v>
      </c>
      <c r="T340" s="5">
        <v>0</v>
      </c>
      <c r="U340" t="s">
        <v>57</v>
      </c>
      <c r="V340" t="s">
        <v>1157</v>
      </c>
      <c r="W340" s="5"/>
      <c r="X340" s="4"/>
      <c r="Y340" s="4"/>
      <c r="Z340" s="4"/>
      <c r="AA340" s="4">
        <f t="shared" si="15"/>
        <v>4.0340495137046863</v>
      </c>
      <c r="AB340" s="6">
        <f t="shared" si="16"/>
        <v>0.45625100000000002</v>
      </c>
      <c r="AC340" s="6" t="str">
        <f t="shared" si="17"/>
        <v/>
      </c>
    </row>
    <row r="341" spans="1:29">
      <c r="A341" t="s">
        <v>1158</v>
      </c>
      <c r="B341" t="s">
        <v>1159</v>
      </c>
      <c r="C341" s="3">
        <v>45954</v>
      </c>
      <c r="D341">
        <v>2025</v>
      </c>
      <c r="E341">
        <v>10</v>
      </c>
      <c r="F341" t="s">
        <v>302</v>
      </c>
      <c r="G341" s="4">
        <v>2.3469180000000001</v>
      </c>
      <c r="H341" s="4">
        <v>2.8</v>
      </c>
      <c r="I341" s="5">
        <v>1823</v>
      </c>
      <c r="J341" s="5">
        <v>102</v>
      </c>
      <c r="K341" t="s">
        <v>83</v>
      </c>
      <c r="L341" t="s">
        <v>83</v>
      </c>
      <c r="M341" t="s">
        <v>39</v>
      </c>
      <c r="N341" t="s">
        <v>39</v>
      </c>
      <c r="O341" t="s">
        <v>128</v>
      </c>
      <c r="P341" t="s">
        <v>56</v>
      </c>
      <c r="Q341" t="s">
        <v>42</v>
      </c>
      <c r="R341" t="s">
        <v>43</v>
      </c>
      <c r="S341" s="5">
        <v>0</v>
      </c>
      <c r="T341" s="5">
        <v>0</v>
      </c>
      <c r="U341" t="s">
        <v>57</v>
      </c>
      <c r="V341" t="s">
        <v>1160</v>
      </c>
      <c r="W341" s="5"/>
      <c r="X341" s="4"/>
      <c r="Y341" s="4"/>
      <c r="Z341" s="4"/>
      <c r="AA341" s="4">
        <f t="shared" si="15"/>
        <v>1.2873933077345037</v>
      </c>
      <c r="AB341" s="6">
        <f t="shared" si="16"/>
        <v>0.83818500000000007</v>
      </c>
      <c r="AC341" s="6" t="str">
        <f t="shared" si="17"/>
        <v/>
      </c>
    </row>
    <row r="342" spans="1:29">
      <c r="A342" t="s">
        <v>1161</v>
      </c>
      <c r="B342" t="s">
        <v>1162</v>
      </c>
      <c r="C342" s="3">
        <v>45954</v>
      </c>
      <c r="D342">
        <v>2025</v>
      </c>
      <c r="E342">
        <v>10</v>
      </c>
      <c r="F342" t="s">
        <v>302</v>
      </c>
      <c r="G342" s="4">
        <v>8.8872549999999997</v>
      </c>
      <c r="H342" s="4">
        <v>55</v>
      </c>
      <c r="I342" s="5">
        <v>3460</v>
      </c>
      <c r="J342" s="5">
        <v>119</v>
      </c>
      <c r="K342" t="s">
        <v>38</v>
      </c>
      <c r="L342" t="s">
        <v>38</v>
      </c>
      <c r="M342" t="s">
        <v>50</v>
      </c>
      <c r="N342" t="s">
        <v>50</v>
      </c>
      <c r="O342" t="s">
        <v>413</v>
      </c>
      <c r="P342" t="s">
        <v>74</v>
      </c>
      <c r="Q342" t="s">
        <v>42</v>
      </c>
      <c r="R342" t="s">
        <v>43</v>
      </c>
      <c r="S342" s="5">
        <v>0</v>
      </c>
      <c r="T342" s="5">
        <v>0</v>
      </c>
      <c r="U342" t="s">
        <v>57</v>
      </c>
      <c r="V342" t="s">
        <v>1163</v>
      </c>
      <c r="W342" s="5"/>
      <c r="X342" s="4"/>
      <c r="Y342" s="4"/>
      <c r="Z342" s="4"/>
      <c r="AA342" s="4">
        <f t="shared" si="15"/>
        <v>2.5685708092485546</v>
      </c>
      <c r="AB342" s="6">
        <f t="shared" si="16"/>
        <v>0.16158645454545453</v>
      </c>
      <c r="AC342" s="6" t="str">
        <f t="shared" si="17"/>
        <v/>
      </c>
    </row>
    <row r="343" spans="1:29">
      <c r="A343" t="s">
        <v>1164</v>
      </c>
      <c r="B343" t="s">
        <v>1165</v>
      </c>
      <c r="C343" s="3">
        <v>45959</v>
      </c>
      <c r="D343">
        <v>2025</v>
      </c>
      <c r="E343">
        <v>10</v>
      </c>
      <c r="F343" t="s">
        <v>302</v>
      </c>
      <c r="G343" s="4">
        <v>1.3108880000000001</v>
      </c>
      <c r="H343" s="4">
        <v>15</v>
      </c>
      <c r="I343" s="5">
        <v>2011</v>
      </c>
      <c r="J343" s="5">
        <v>135</v>
      </c>
      <c r="K343" t="s">
        <v>83</v>
      </c>
      <c r="L343" t="s">
        <v>83</v>
      </c>
      <c r="M343" t="s">
        <v>50</v>
      </c>
      <c r="N343" t="s">
        <v>50</v>
      </c>
      <c r="O343" t="s">
        <v>1166</v>
      </c>
      <c r="P343" t="s">
        <v>56</v>
      </c>
      <c r="Q343" t="s">
        <v>42</v>
      </c>
      <c r="R343" t="s">
        <v>43</v>
      </c>
      <c r="S343" s="5">
        <v>0</v>
      </c>
      <c r="T343" s="5">
        <v>0</v>
      </c>
      <c r="U343" t="s">
        <v>57</v>
      </c>
      <c r="V343" t="s">
        <v>1167</v>
      </c>
      <c r="W343" s="5"/>
      <c r="X343" s="4"/>
      <c r="Y343" s="4"/>
      <c r="Z343" s="4"/>
      <c r="AA343" s="4">
        <f t="shared" si="15"/>
        <v>0.65185877672799608</v>
      </c>
      <c r="AB343" s="6">
        <f t="shared" si="16"/>
        <v>8.7392533333333342E-2</v>
      </c>
      <c r="AC343" s="6" t="str">
        <f t="shared" si="17"/>
        <v/>
      </c>
    </row>
    <row r="344" spans="1:29">
      <c r="A344" t="s">
        <v>1168</v>
      </c>
      <c r="B344" t="s">
        <v>1169</v>
      </c>
      <c r="C344" s="3">
        <v>45959</v>
      </c>
      <c r="D344">
        <v>2025</v>
      </c>
      <c r="E344">
        <v>10</v>
      </c>
      <c r="F344" t="s">
        <v>302</v>
      </c>
      <c r="G344" s="4">
        <v>3.8832939999999998</v>
      </c>
      <c r="H344" s="4">
        <v>40</v>
      </c>
      <c r="I344" s="5">
        <v>1802</v>
      </c>
      <c r="J344" s="5">
        <v>148</v>
      </c>
      <c r="K344" t="s">
        <v>38</v>
      </c>
      <c r="L344" t="s">
        <v>38</v>
      </c>
      <c r="M344" t="s">
        <v>50</v>
      </c>
      <c r="N344" t="s">
        <v>50</v>
      </c>
      <c r="O344" t="s">
        <v>1170</v>
      </c>
      <c r="P344" t="s">
        <v>41</v>
      </c>
      <c r="Q344" t="s">
        <v>42</v>
      </c>
      <c r="R344" t="s">
        <v>43</v>
      </c>
      <c r="S344" s="5">
        <v>0</v>
      </c>
      <c r="T344" s="5">
        <v>0</v>
      </c>
      <c r="U344" t="s">
        <v>57</v>
      </c>
      <c r="V344" t="s">
        <v>1171</v>
      </c>
      <c r="W344" s="5"/>
      <c r="X344" s="4"/>
      <c r="Y344" s="4"/>
      <c r="Z344" s="4"/>
      <c r="AA344" s="4">
        <f t="shared" si="15"/>
        <v>2.1549911209766925</v>
      </c>
      <c r="AB344" s="6">
        <f t="shared" si="16"/>
        <v>9.7082349999999998E-2</v>
      </c>
      <c r="AC344" s="6" t="str">
        <f t="shared" si="17"/>
        <v/>
      </c>
    </row>
    <row r="345" spans="1:29">
      <c r="A345" t="s">
        <v>1172</v>
      </c>
      <c r="B345" t="s">
        <v>1173</v>
      </c>
      <c r="C345" s="3">
        <v>45959</v>
      </c>
      <c r="D345">
        <v>2025</v>
      </c>
      <c r="E345">
        <v>10</v>
      </c>
      <c r="F345" t="s">
        <v>302</v>
      </c>
      <c r="G345" s="4">
        <v>40.016852999999998</v>
      </c>
      <c r="H345" s="4">
        <v>105</v>
      </c>
      <c r="I345" s="5">
        <v>3725</v>
      </c>
      <c r="J345" s="5">
        <v>115</v>
      </c>
      <c r="K345" t="s">
        <v>38</v>
      </c>
      <c r="L345" t="s">
        <v>38</v>
      </c>
      <c r="M345" t="s">
        <v>61</v>
      </c>
      <c r="N345" t="s">
        <v>61</v>
      </c>
      <c r="O345" t="s">
        <v>413</v>
      </c>
      <c r="P345" t="s">
        <v>74</v>
      </c>
      <c r="Q345" t="s">
        <v>42</v>
      </c>
      <c r="R345" t="s">
        <v>43</v>
      </c>
      <c r="S345" s="5">
        <v>0</v>
      </c>
      <c r="T345" s="5">
        <v>0</v>
      </c>
      <c r="U345" t="s">
        <v>57</v>
      </c>
      <c r="V345" t="s">
        <v>1174</v>
      </c>
      <c r="W345" s="5"/>
      <c r="X345" s="4"/>
      <c r="Y345" s="4"/>
      <c r="Z345" s="4"/>
      <c r="AA345" s="4">
        <f t="shared" si="15"/>
        <v>10.74277932885906</v>
      </c>
      <c r="AB345" s="6">
        <f t="shared" si="16"/>
        <v>0.3811128857142857</v>
      </c>
      <c r="AC345" s="6" t="str">
        <f t="shared" si="17"/>
        <v/>
      </c>
    </row>
    <row r="346" spans="1:29">
      <c r="A346" t="s">
        <v>1175</v>
      </c>
      <c r="B346" t="s">
        <v>1176</v>
      </c>
      <c r="C346" s="3">
        <v>45975</v>
      </c>
      <c r="D346">
        <v>2025</v>
      </c>
      <c r="E346">
        <v>11</v>
      </c>
      <c r="F346" t="s">
        <v>302</v>
      </c>
      <c r="G346" s="4">
        <v>2.5276269999999998</v>
      </c>
      <c r="H346" s="4">
        <v>6</v>
      </c>
      <c r="I346" s="5">
        <v>1950</v>
      </c>
      <c r="J346" s="5">
        <v>99</v>
      </c>
      <c r="K346" t="s">
        <v>83</v>
      </c>
      <c r="L346" t="s">
        <v>83</v>
      </c>
      <c r="M346" t="s">
        <v>39</v>
      </c>
      <c r="N346" t="s">
        <v>39</v>
      </c>
      <c r="O346" t="s">
        <v>128</v>
      </c>
      <c r="P346" t="s">
        <v>56</v>
      </c>
      <c r="Q346" t="s">
        <v>652</v>
      </c>
      <c r="R346" t="s">
        <v>64</v>
      </c>
      <c r="S346" s="5">
        <v>0</v>
      </c>
      <c r="T346" s="5">
        <v>1</v>
      </c>
      <c r="U346" t="s">
        <v>57</v>
      </c>
      <c r="V346" t="s">
        <v>1177</v>
      </c>
      <c r="W346" s="5"/>
      <c r="X346" s="4"/>
      <c r="Y346" s="4"/>
      <c r="Z346" s="4"/>
      <c r="AA346" s="4">
        <f t="shared" si="15"/>
        <v>1.2962189743589743</v>
      </c>
      <c r="AB346" s="6">
        <f t="shared" si="16"/>
        <v>0.42127116666666664</v>
      </c>
      <c r="AC346" s="6" t="str">
        <f t="shared" si="17"/>
        <v/>
      </c>
    </row>
    <row r="347" spans="1:29">
      <c r="A347" t="s">
        <v>1178</v>
      </c>
      <c r="B347" t="s">
        <v>1179</v>
      </c>
      <c r="C347" s="3">
        <v>45975</v>
      </c>
      <c r="D347">
        <v>2025</v>
      </c>
      <c r="E347">
        <v>11</v>
      </c>
      <c r="F347" t="s">
        <v>302</v>
      </c>
      <c r="G347" s="4">
        <v>21.013793</v>
      </c>
      <c r="H347" s="4">
        <v>90</v>
      </c>
      <c r="I347" s="5">
        <v>3403</v>
      </c>
      <c r="J347" s="5">
        <v>112</v>
      </c>
      <c r="K347" t="s">
        <v>38</v>
      </c>
      <c r="L347" t="s">
        <v>38</v>
      </c>
      <c r="M347" t="s">
        <v>54</v>
      </c>
      <c r="N347" t="s">
        <v>54</v>
      </c>
      <c r="O347" t="s">
        <v>84</v>
      </c>
      <c r="P347" t="s">
        <v>84</v>
      </c>
      <c r="Q347" t="s">
        <v>42</v>
      </c>
      <c r="R347" t="s">
        <v>43</v>
      </c>
      <c r="S347" s="5">
        <v>0</v>
      </c>
      <c r="T347" s="5">
        <v>1</v>
      </c>
      <c r="U347" t="s">
        <v>57</v>
      </c>
      <c r="V347" t="s">
        <v>1180</v>
      </c>
      <c r="W347" s="5"/>
      <c r="X347" s="4"/>
      <c r="Y347" s="4"/>
      <c r="Z347" s="4"/>
      <c r="AA347" s="4">
        <f t="shared" si="15"/>
        <v>6.1750787540405527</v>
      </c>
      <c r="AB347" s="6">
        <f t="shared" si="16"/>
        <v>0.23348658888888887</v>
      </c>
      <c r="AC347" s="6" t="str">
        <f t="shared" si="17"/>
        <v/>
      </c>
    </row>
    <row r="348" spans="1:29">
      <c r="A348" t="s">
        <v>1181</v>
      </c>
      <c r="B348" t="s">
        <v>1182</v>
      </c>
      <c r="C348" s="3">
        <v>45975</v>
      </c>
      <c r="D348">
        <v>2025</v>
      </c>
      <c r="E348">
        <v>11</v>
      </c>
      <c r="F348" t="s">
        <v>302</v>
      </c>
      <c r="G348" s="4">
        <v>16.495564000000002</v>
      </c>
      <c r="H348" s="4">
        <v>110</v>
      </c>
      <c r="I348" s="5">
        <v>3534</v>
      </c>
      <c r="J348" s="5">
        <v>133</v>
      </c>
      <c r="K348" t="s">
        <v>83</v>
      </c>
      <c r="L348" t="s">
        <v>83</v>
      </c>
      <c r="M348" t="s">
        <v>54</v>
      </c>
      <c r="N348" t="s">
        <v>54</v>
      </c>
      <c r="O348" t="s">
        <v>95</v>
      </c>
      <c r="P348" t="s">
        <v>96</v>
      </c>
      <c r="Q348" t="s">
        <v>199</v>
      </c>
      <c r="R348" t="s">
        <v>64</v>
      </c>
      <c r="S348" s="5">
        <v>0</v>
      </c>
      <c r="T348" s="5">
        <v>1</v>
      </c>
      <c r="U348" t="s">
        <v>57</v>
      </c>
      <c r="V348" t="s">
        <v>1183</v>
      </c>
      <c r="W348" s="5"/>
      <c r="X348" s="4"/>
      <c r="Y348" s="4"/>
      <c r="Z348" s="4"/>
      <c r="AA348" s="4">
        <f t="shared" si="15"/>
        <v>4.6676751556310139</v>
      </c>
      <c r="AB348" s="6">
        <f t="shared" si="16"/>
        <v>0.14995967272727273</v>
      </c>
      <c r="AC348" s="6" t="str">
        <f t="shared" si="17"/>
        <v/>
      </c>
    </row>
    <row r="349" spans="1:29">
      <c r="A349" t="s">
        <v>1184</v>
      </c>
      <c r="B349" t="s">
        <v>1185</v>
      </c>
      <c r="C349" s="3">
        <v>45982</v>
      </c>
      <c r="D349">
        <v>2025</v>
      </c>
      <c r="E349">
        <v>11</v>
      </c>
      <c r="F349" t="s">
        <v>302</v>
      </c>
      <c r="G349" s="4">
        <v>2.40849</v>
      </c>
      <c r="H349" s="4">
        <v>12.2</v>
      </c>
      <c r="I349" s="5">
        <v>2222</v>
      </c>
      <c r="J349" s="5">
        <v>88</v>
      </c>
      <c r="K349" t="s">
        <v>83</v>
      </c>
      <c r="L349" t="s">
        <v>83</v>
      </c>
      <c r="M349" t="s">
        <v>61</v>
      </c>
      <c r="N349" t="s">
        <v>61</v>
      </c>
      <c r="O349" t="s">
        <v>40</v>
      </c>
      <c r="P349" t="s">
        <v>41</v>
      </c>
      <c r="Q349" t="s">
        <v>1186</v>
      </c>
      <c r="R349" t="s">
        <v>64</v>
      </c>
      <c r="S349" s="5">
        <v>0</v>
      </c>
      <c r="T349" s="5">
        <v>1</v>
      </c>
      <c r="U349" t="s">
        <v>57</v>
      </c>
      <c r="V349" t="s">
        <v>1187</v>
      </c>
      <c r="W349" s="5"/>
      <c r="X349" s="4"/>
      <c r="Y349" s="4"/>
      <c r="Z349" s="4"/>
      <c r="AA349" s="4">
        <f t="shared" si="15"/>
        <v>1.083928892889289</v>
      </c>
      <c r="AB349" s="6">
        <f t="shared" si="16"/>
        <v>0.1974172131147541</v>
      </c>
      <c r="AC349" s="6" t="str">
        <f t="shared" si="17"/>
        <v/>
      </c>
    </row>
    <row r="350" spans="1:29">
      <c r="A350" t="s">
        <v>1188</v>
      </c>
      <c r="B350" t="s">
        <v>1189</v>
      </c>
      <c r="C350" s="3">
        <v>45982</v>
      </c>
      <c r="D350">
        <v>2025</v>
      </c>
      <c r="E350">
        <v>11</v>
      </c>
      <c r="F350" t="s">
        <v>302</v>
      </c>
      <c r="G350" s="4">
        <v>147.00463999999999</v>
      </c>
      <c r="H350" s="4">
        <v>150</v>
      </c>
      <c r="I350" s="5">
        <v>4115</v>
      </c>
      <c r="J350" s="5">
        <v>137</v>
      </c>
      <c r="K350" t="s">
        <v>48</v>
      </c>
      <c r="L350" t="s">
        <v>49</v>
      </c>
      <c r="M350" t="s">
        <v>362</v>
      </c>
      <c r="N350" t="s">
        <v>56</v>
      </c>
      <c r="O350" t="s">
        <v>68</v>
      </c>
      <c r="P350" t="s">
        <v>68</v>
      </c>
      <c r="Q350" t="s">
        <v>42</v>
      </c>
      <c r="R350" t="s">
        <v>43</v>
      </c>
      <c r="S350" s="5">
        <v>0</v>
      </c>
      <c r="T350" s="5">
        <v>1</v>
      </c>
      <c r="U350" t="s">
        <v>57</v>
      </c>
      <c r="V350" t="s">
        <v>1190</v>
      </c>
      <c r="W350" s="5"/>
      <c r="X350" s="4"/>
      <c r="Y350" s="4"/>
      <c r="Z350" s="4"/>
      <c r="AA350" s="4">
        <f t="shared" si="15"/>
        <v>35.724092345078972</v>
      </c>
      <c r="AB350" s="6">
        <f t="shared" si="16"/>
        <v>0.98003093333333335</v>
      </c>
      <c r="AC350" s="6" t="str">
        <f t="shared" si="17"/>
        <v/>
      </c>
    </row>
    <row r="351" spans="1:29">
      <c r="A351" t="s">
        <v>1191</v>
      </c>
      <c r="B351" t="s">
        <v>1192</v>
      </c>
      <c r="C351" s="3">
        <v>45987</v>
      </c>
      <c r="D351">
        <v>2025</v>
      </c>
      <c r="E351">
        <v>11</v>
      </c>
      <c r="F351" t="s">
        <v>302</v>
      </c>
      <c r="G351" s="4">
        <v>3.1758099999999998</v>
      </c>
      <c r="H351" s="4">
        <v>12</v>
      </c>
      <c r="I351" s="5">
        <v>1348</v>
      </c>
      <c r="J351" s="5">
        <v>112</v>
      </c>
      <c r="K351" t="s">
        <v>38</v>
      </c>
      <c r="L351" t="s">
        <v>38</v>
      </c>
      <c r="M351" t="s">
        <v>93</v>
      </c>
      <c r="N351" t="s">
        <v>94</v>
      </c>
      <c r="O351" t="s">
        <v>226</v>
      </c>
      <c r="P351" t="s">
        <v>56</v>
      </c>
      <c r="Q351" t="s">
        <v>42</v>
      </c>
      <c r="R351" t="s">
        <v>43</v>
      </c>
      <c r="S351" s="5">
        <v>0</v>
      </c>
      <c r="T351" s="5">
        <v>1</v>
      </c>
      <c r="U351" t="s">
        <v>57</v>
      </c>
      <c r="V351" t="s">
        <v>1193</v>
      </c>
      <c r="W351" s="5"/>
      <c r="X351" s="4"/>
      <c r="Y351" s="4"/>
      <c r="Z351" s="4"/>
      <c r="AA351" s="4">
        <f t="shared" si="15"/>
        <v>2.3559421364985162</v>
      </c>
      <c r="AB351" s="6">
        <f t="shared" si="16"/>
        <v>0.26465083333333334</v>
      </c>
      <c r="AC351" s="6" t="str">
        <f t="shared" si="17"/>
        <v/>
      </c>
    </row>
    <row r="352" spans="1:29">
      <c r="A352" t="s">
        <v>1194</v>
      </c>
      <c r="B352" t="s">
        <v>1195</v>
      </c>
      <c r="C352" s="3">
        <v>45996</v>
      </c>
      <c r="D352">
        <v>2025</v>
      </c>
      <c r="E352">
        <v>12</v>
      </c>
      <c r="F352" t="s">
        <v>302</v>
      </c>
      <c r="G352" s="4">
        <v>0.25070100000000001</v>
      </c>
      <c r="H352" s="4">
        <v>5.3</v>
      </c>
      <c r="I352" s="5">
        <v>828</v>
      </c>
      <c r="J352" s="5">
        <v>90</v>
      </c>
      <c r="K352" t="s">
        <v>38</v>
      </c>
      <c r="L352" t="s">
        <v>38</v>
      </c>
      <c r="M352" t="s">
        <v>50</v>
      </c>
      <c r="N352" t="s">
        <v>50</v>
      </c>
      <c r="O352" t="s">
        <v>1196</v>
      </c>
      <c r="P352" t="s">
        <v>56</v>
      </c>
      <c r="Q352" t="s">
        <v>75</v>
      </c>
      <c r="R352" t="s">
        <v>64</v>
      </c>
      <c r="S352" s="5">
        <v>0</v>
      </c>
      <c r="T352" s="5">
        <v>1</v>
      </c>
      <c r="U352" t="s">
        <v>57</v>
      </c>
      <c r="V352" t="s">
        <v>1197</v>
      </c>
      <c r="W352" s="5"/>
      <c r="X352" s="4"/>
      <c r="Y352" s="4"/>
      <c r="Z352" s="4"/>
      <c r="AA352" s="4">
        <f t="shared" si="15"/>
        <v>0.30277898550724636</v>
      </c>
      <c r="AB352" s="6">
        <f t="shared" si="16"/>
        <v>4.7302075471698117E-2</v>
      </c>
      <c r="AC352" s="6" t="str">
        <f t="shared" si="17"/>
        <v/>
      </c>
    </row>
    <row r="353" spans="1:29">
      <c r="A353" t="s">
        <v>1198</v>
      </c>
      <c r="B353" t="s">
        <v>1199</v>
      </c>
      <c r="C353" s="3">
        <v>45996</v>
      </c>
      <c r="D353">
        <v>2025</v>
      </c>
      <c r="E353">
        <v>12</v>
      </c>
      <c r="F353" t="s">
        <v>302</v>
      </c>
      <c r="G353" s="4">
        <v>64.007429999999999</v>
      </c>
      <c r="H353" s="4">
        <v>51</v>
      </c>
      <c r="I353" s="5">
        <v>3412</v>
      </c>
      <c r="J353" s="5">
        <v>105</v>
      </c>
      <c r="K353" t="s">
        <v>38</v>
      </c>
      <c r="L353" t="s">
        <v>38</v>
      </c>
      <c r="M353" t="s">
        <v>39</v>
      </c>
      <c r="N353" t="s">
        <v>39</v>
      </c>
      <c r="O353" t="s">
        <v>68</v>
      </c>
      <c r="P353" t="s">
        <v>68</v>
      </c>
      <c r="Q353" t="s">
        <v>42</v>
      </c>
      <c r="R353" t="s">
        <v>43</v>
      </c>
      <c r="S353" s="5">
        <v>0</v>
      </c>
      <c r="T353" s="5">
        <v>1</v>
      </c>
      <c r="U353" t="s">
        <v>57</v>
      </c>
      <c r="V353" t="s">
        <v>1200</v>
      </c>
      <c r="W353" s="5"/>
      <c r="X353" s="4"/>
      <c r="Y353" s="4"/>
      <c r="Z353" s="4"/>
      <c r="AA353" s="4">
        <f t="shared" si="15"/>
        <v>18.75950468933177</v>
      </c>
      <c r="AB353" s="6">
        <f t="shared" si="16"/>
        <v>1.2550476470588234</v>
      </c>
      <c r="AC353" s="6" t="str">
        <f t="shared" si="17"/>
        <v/>
      </c>
    </row>
    <row r="354" spans="1:29">
      <c r="A354" t="s">
        <v>1201</v>
      </c>
      <c r="B354" t="s">
        <v>1202</v>
      </c>
      <c r="C354" s="3">
        <v>46003</v>
      </c>
      <c r="D354">
        <v>2025</v>
      </c>
      <c r="E354">
        <v>12</v>
      </c>
      <c r="F354" t="s">
        <v>302</v>
      </c>
      <c r="G354" s="4">
        <v>2.0205410000000001</v>
      </c>
      <c r="H354" s="4">
        <v>35</v>
      </c>
      <c r="I354" s="5">
        <v>2500</v>
      </c>
      <c r="J354" s="5">
        <v>115</v>
      </c>
      <c r="K354" t="s">
        <v>38</v>
      </c>
      <c r="L354" t="s">
        <v>38</v>
      </c>
      <c r="M354" t="s">
        <v>50</v>
      </c>
      <c r="N354" t="s">
        <v>50</v>
      </c>
      <c r="O354" t="s">
        <v>413</v>
      </c>
      <c r="P354" t="s">
        <v>74</v>
      </c>
      <c r="Q354" t="s">
        <v>42</v>
      </c>
      <c r="R354" t="s">
        <v>43</v>
      </c>
      <c r="S354" s="5">
        <v>0</v>
      </c>
      <c r="T354" s="5">
        <v>1</v>
      </c>
      <c r="U354" t="s">
        <v>57</v>
      </c>
      <c r="V354" t="s">
        <v>1203</v>
      </c>
      <c r="W354" s="5"/>
      <c r="X354" s="4"/>
      <c r="Y354" s="4"/>
      <c r="Z354" s="4"/>
      <c r="AA354" s="4">
        <f t="shared" si="15"/>
        <v>0.80821640000000006</v>
      </c>
      <c r="AB354" s="6">
        <f t="shared" si="16"/>
        <v>5.7729742857142864E-2</v>
      </c>
      <c r="AC354" s="6" t="str">
        <f t="shared" si="17"/>
        <v/>
      </c>
    </row>
    <row r="355" spans="1:29">
      <c r="A355" t="s">
        <v>1204</v>
      </c>
      <c r="B355" t="s">
        <v>1205</v>
      </c>
      <c r="C355" s="3">
        <v>46010</v>
      </c>
      <c r="D355">
        <v>2025</v>
      </c>
      <c r="E355">
        <v>12</v>
      </c>
      <c r="F355" t="s">
        <v>302</v>
      </c>
      <c r="G355" s="4">
        <v>89.16086</v>
      </c>
      <c r="H355" s="4">
        <v>400</v>
      </c>
      <c r="I355" s="5">
        <v>3800</v>
      </c>
      <c r="J355" s="5">
        <v>197</v>
      </c>
      <c r="K355" t="s">
        <v>38</v>
      </c>
      <c r="L355" t="s">
        <v>38</v>
      </c>
      <c r="M355" t="s">
        <v>61</v>
      </c>
      <c r="N355" t="s">
        <v>61</v>
      </c>
      <c r="O355" t="s">
        <v>413</v>
      </c>
      <c r="P355" t="s">
        <v>74</v>
      </c>
      <c r="Q355" t="s">
        <v>42</v>
      </c>
      <c r="R355" t="s">
        <v>43</v>
      </c>
      <c r="S355" s="5">
        <v>0</v>
      </c>
      <c r="T355" s="5">
        <v>1</v>
      </c>
      <c r="U355" t="s">
        <v>57</v>
      </c>
      <c r="V355" t="s">
        <v>1206</v>
      </c>
      <c r="W355" s="5"/>
      <c r="X355" s="4"/>
      <c r="Y355" s="4"/>
      <c r="Z355" s="4"/>
      <c r="AA355" s="4">
        <f t="shared" si="15"/>
        <v>23.463384210526314</v>
      </c>
      <c r="AB355" s="6">
        <f t="shared" si="16"/>
        <v>0.22290214999999999</v>
      </c>
      <c r="AC355" s="6" t="str">
        <f t="shared" si="17"/>
        <v/>
      </c>
    </row>
    <row r="356" spans="1:29">
      <c r="A356" t="s">
        <v>1207</v>
      </c>
      <c r="B356" t="s">
        <v>1208</v>
      </c>
      <c r="C356" s="3">
        <v>46010</v>
      </c>
      <c r="D356">
        <v>2025</v>
      </c>
      <c r="E356">
        <v>12</v>
      </c>
      <c r="F356" t="s">
        <v>302</v>
      </c>
      <c r="G356" s="4">
        <v>22.000554000000001</v>
      </c>
      <c r="H356" s="4">
        <v>60.9</v>
      </c>
      <c r="I356" s="5">
        <v>3118</v>
      </c>
      <c r="J356" s="5">
        <v>115</v>
      </c>
      <c r="K356" t="s">
        <v>48</v>
      </c>
      <c r="L356" t="s">
        <v>49</v>
      </c>
      <c r="M356" t="s">
        <v>362</v>
      </c>
      <c r="N356" t="s">
        <v>56</v>
      </c>
      <c r="O356" t="s">
        <v>595</v>
      </c>
      <c r="P356" t="s">
        <v>56</v>
      </c>
      <c r="Q356" t="s">
        <v>42</v>
      </c>
      <c r="R356" t="s">
        <v>43</v>
      </c>
      <c r="S356" s="5">
        <v>0</v>
      </c>
      <c r="T356" s="5">
        <v>1</v>
      </c>
      <c r="U356" t="s">
        <v>57</v>
      </c>
      <c r="V356" t="s">
        <v>1209</v>
      </c>
      <c r="W356" s="5"/>
      <c r="X356" s="4"/>
      <c r="Y356" s="4"/>
      <c r="Z356" s="4"/>
      <c r="AA356" s="4">
        <f t="shared" si="15"/>
        <v>7.0559826812059017</v>
      </c>
      <c r="AB356" s="6">
        <f t="shared" si="16"/>
        <v>0.36125704433497541</v>
      </c>
      <c r="AC356" s="6" t="str">
        <f t="shared" si="17"/>
        <v/>
      </c>
    </row>
    <row r="357" spans="1:29">
      <c r="A357" t="s">
        <v>1210</v>
      </c>
      <c r="B357" t="s">
        <v>1211</v>
      </c>
      <c r="C357" s="3">
        <v>46010</v>
      </c>
      <c r="D357">
        <v>2025</v>
      </c>
      <c r="E357">
        <v>12</v>
      </c>
      <c r="F357" t="s">
        <v>302</v>
      </c>
      <c r="G357" s="4">
        <v>19.010429999999999</v>
      </c>
      <c r="H357" s="4">
        <v>35</v>
      </c>
      <c r="I357" s="5">
        <v>3015</v>
      </c>
      <c r="J357" s="5">
        <v>131</v>
      </c>
      <c r="K357" t="s">
        <v>83</v>
      </c>
      <c r="L357" t="s">
        <v>83</v>
      </c>
      <c r="M357" t="s">
        <v>54</v>
      </c>
      <c r="N357" t="s">
        <v>54</v>
      </c>
      <c r="O357" t="s">
        <v>84</v>
      </c>
      <c r="P357" t="s">
        <v>84</v>
      </c>
      <c r="Q357" t="s">
        <v>42</v>
      </c>
      <c r="R357" t="s">
        <v>43</v>
      </c>
      <c r="S357" s="5">
        <v>0</v>
      </c>
      <c r="T357" s="5">
        <v>1</v>
      </c>
      <c r="U357" t="s">
        <v>57</v>
      </c>
      <c r="V357" t="s">
        <v>1212</v>
      </c>
      <c r="W357" s="5"/>
      <c r="X357" s="4"/>
      <c r="Y357" s="4"/>
      <c r="Z357" s="4"/>
      <c r="AA357" s="4">
        <f t="shared" si="15"/>
        <v>6.3052835820895528</v>
      </c>
      <c r="AB357" s="6">
        <f t="shared" si="16"/>
        <v>0.54315514285714284</v>
      </c>
      <c r="AC357" s="6" t="str">
        <f t="shared" si="17"/>
        <v/>
      </c>
    </row>
    <row r="358" spans="1:29">
      <c r="A358" t="s">
        <v>1213</v>
      </c>
      <c r="B358" t="s">
        <v>1214</v>
      </c>
      <c r="C358" s="3">
        <v>46010</v>
      </c>
      <c r="D358">
        <v>2025</v>
      </c>
      <c r="E358">
        <v>12</v>
      </c>
      <c r="F358" t="s">
        <v>302</v>
      </c>
      <c r="G358" s="4">
        <v>15.611344000000001</v>
      </c>
      <c r="H358" s="4">
        <v>64</v>
      </c>
      <c r="I358" s="5">
        <v>3557</v>
      </c>
      <c r="J358" s="5">
        <v>88</v>
      </c>
      <c r="K358" t="s">
        <v>48</v>
      </c>
      <c r="L358" t="s">
        <v>49</v>
      </c>
      <c r="M358" t="s">
        <v>72</v>
      </c>
      <c r="N358" t="s">
        <v>72</v>
      </c>
      <c r="O358" t="s">
        <v>95</v>
      </c>
      <c r="P358" t="s">
        <v>96</v>
      </c>
      <c r="Q358" t="s">
        <v>42</v>
      </c>
      <c r="R358" t="s">
        <v>43</v>
      </c>
      <c r="S358" s="5">
        <v>0</v>
      </c>
      <c r="T358" s="5">
        <v>1</v>
      </c>
      <c r="U358" t="s">
        <v>57</v>
      </c>
      <c r="V358" t="s">
        <v>1215</v>
      </c>
      <c r="W358" s="5"/>
      <c r="X358" s="4"/>
      <c r="Y358" s="4"/>
      <c r="Z358" s="4"/>
      <c r="AA358" s="4">
        <f t="shared" si="15"/>
        <v>4.3889075063255554</v>
      </c>
      <c r="AB358" s="6">
        <f t="shared" si="16"/>
        <v>0.24392725000000001</v>
      </c>
      <c r="AC358" s="6" t="str">
        <f t="shared" si="17"/>
        <v/>
      </c>
    </row>
    <row r="359" spans="1:29">
      <c r="A359" t="s">
        <v>1216</v>
      </c>
      <c r="B359" t="s">
        <v>1217</v>
      </c>
      <c r="C359" s="3">
        <v>46016</v>
      </c>
      <c r="D359">
        <v>2025</v>
      </c>
      <c r="E359">
        <v>12</v>
      </c>
      <c r="F359" t="s">
        <v>302</v>
      </c>
      <c r="G359" s="4">
        <v>14.502217999999999</v>
      </c>
      <c r="H359" s="4">
        <v>45</v>
      </c>
      <c r="I359" s="5">
        <v>3509</v>
      </c>
      <c r="J359" s="5">
        <v>99</v>
      </c>
      <c r="K359" t="s">
        <v>38</v>
      </c>
      <c r="L359" t="s">
        <v>38</v>
      </c>
      <c r="M359" t="s">
        <v>94</v>
      </c>
      <c r="N359" t="s">
        <v>94</v>
      </c>
      <c r="O359" t="s">
        <v>40</v>
      </c>
      <c r="P359" t="s">
        <v>41</v>
      </c>
      <c r="Q359" t="s">
        <v>42</v>
      </c>
      <c r="R359" t="s">
        <v>43</v>
      </c>
      <c r="S359" s="5">
        <v>0</v>
      </c>
      <c r="T359" s="5">
        <v>1</v>
      </c>
      <c r="U359" t="s">
        <v>57</v>
      </c>
      <c r="V359" t="s">
        <v>1218</v>
      </c>
      <c r="W359" s="5"/>
      <c r="X359" s="4"/>
      <c r="Y359" s="4"/>
      <c r="Z359" s="4"/>
      <c r="AA359" s="4">
        <f t="shared" si="15"/>
        <v>4.1328634938728976</v>
      </c>
      <c r="AB359" s="6">
        <f t="shared" si="16"/>
        <v>0.32227151111111108</v>
      </c>
      <c r="AC359" s="6" t="str">
        <f t="shared" si="17"/>
        <v/>
      </c>
    </row>
    <row r="360" spans="1:29">
      <c r="A360" t="s">
        <v>1219</v>
      </c>
      <c r="B360" t="s">
        <v>1220</v>
      </c>
      <c r="C360" s="3">
        <v>46016</v>
      </c>
      <c r="D360">
        <v>2025</v>
      </c>
      <c r="E360">
        <v>12</v>
      </c>
      <c r="F360" t="s">
        <v>302</v>
      </c>
      <c r="G360" s="4">
        <v>7.0736299999999996</v>
      </c>
      <c r="H360" s="4">
        <v>30</v>
      </c>
      <c r="I360" s="5">
        <v>2578</v>
      </c>
      <c r="J360" s="5">
        <v>131</v>
      </c>
      <c r="K360" t="s">
        <v>38</v>
      </c>
      <c r="L360" t="s">
        <v>38</v>
      </c>
      <c r="M360" t="s">
        <v>50</v>
      </c>
      <c r="N360" t="s">
        <v>50</v>
      </c>
      <c r="O360" t="s">
        <v>111</v>
      </c>
      <c r="P360" t="s">
        <v>68</v>
      </c>
      <c r="Q360" t="s">
        <v>42</v>
      </c>
      <c r="R360" t="s">
        <v>43</v>
      </c>
      <c r="S360" s="5">
        <v>0</v>
      </c>
      <c r="T360" s="5">
        <v>1</v>
      </c>
      <c r="U360" t="s">
        <v>57</v>
      </c>
      <c r="V360" t="s">
        <v>1221</v>
      </c>
      <c r="W360" s="5"/>
      <c r="X360" s="4"/>
      <c r="Y360" s="4"/>
      <c r="Z360" s="4"/>
      <c r="AA360" s="4">
        <f t="shared" si="15"/>
        <v>2.7438440651667957</v>
      </c>
      <c r="AB360" s="6">
        <f t="shared" si="16"/>
        <v>0.23578766666666665</v>
      </c>
      <c r="AC360" s="6" t="str">
        <f t="shared" si="17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22" customWidth="1"/>
    <col min="3" max="3" width="18" customWidth="1"/>
    <col min="4" max="4" width="58" customWidth="1"/>
    <col min="5" max="5" width="36" customWidth="1"/>
    <col min="6" max="6" width="54" customWidth="1"/>
  </cols>
  <sheetData>
    <row r="1" spans="1:6" ht="15" customHeight="1">
      <c r="A1" s="7" t="s">
        <v>1222</v>
      </c>
      <c r="B1" s="7" t="s">
        <v>1223</v>
      </c>
      <c r="C1" s="7" t="s">
        <v>1224</v>
      </c>
      <c r="D1" s="7" t="s">
        <v>1225</v>
      </c>
      <c r="E1" s="7" t="s">
        <v>1226</v>
      </c>
      <c r="F1" s="7" t="s">
        <v>1227</v>
      </c>
    </row>
    <row r="2" spans="1:6" ht="15" customHeight="1">
      <c r="A2" s="8" t="s">
        <v>6</v>
      </c>
      <c r="B2" s="8" t="s">
        <v>1228</v>
      </c>
      <c r="C2" s="8" t="s">
        <v>1229</v>
      </c>
      <c r="D2" s="8" t="s">
        <v>1230</v>
      </c>
      <c r="E2" s="8" t="s">
        <v>1231</v>
      </c>
      <c r="F2" s="8" t="s">
        <v>1232</v>
      </c>
    </row>
    <row r="3" spans="1:6" ht="15" customHeight="1">
      <c r="A3" s="8" t="s">
        <v>7</v>
      </c>
      <c r="B3" s="8" t="s">
        <v>1228</v>
      </c>
      <c r="C3" s="8" t="s">
        <v>1229</v>
      </c>
      <c r="D3" s="8" t="s">
        <v>1233</v>
      </c>
      <c r="E3" s="8" t="s">
        <v>1229</v>
      </c>
      <c r="F3" s="8" t="s">
        <v>1234</v>
      </c>
    </row>
    <row r="4" spans="1:6" ht="15" customHeight="1">
      <c r="A4" s="8" t="s">
        <v>8</v>
      </c>
      <c r="B4" s="8" t="s">
        <v>1235</v>
      </c>
      <c r="C4" s="8" t="s">
        <v>1236</v>
      </c>
      <c r="D4" s="8" t="s">
        <v>1237</v>
      </c>
      <c r="E4" s="8" t="s">
        <v>1238</v>
      </c>
      <c r="F4" s="8" t="s">
        <v>1239</v>
      </c>
    </row>
    <row r="5" spans="1:6" ht="15" customHeight="1">
      <c r="A5" s="8" t="s">
        <v>9</v>
      </c>
      <c r="B5" s="8" t="s">
        <v>1240</v>
      </c>
      <c r="C5" s="8" t="s">
        <v>1241</v>
      </c>
      <c r="D5" s="8" t="s">
        <v>1242</v>
      </c>
      <c r="E5" s="8" t="s">
        <v>1243</v>
      </c>
      <c r="F5" s="8" t="s">
        <v>1244</v>
      </c>
    </row>
    <row r="6" spans="1:6" ht="15" customHeight="1">
      <c r="A6" s="8" t="s">
        <v>10</v>
      </c>
      <c r="B6" s="8" t="s">
        <v>1240</v>
      </c>
      <c r="C6" s="8" t="s">
        <v>1241</v>
      </c>
      <c r="D6" s="8" t="s">
        <v>1245</v>
      </c>
      <c r="E6" s="8" t="s">
        <v>1246</v>
      </c>
      <c r="F6" s="8" t="s">
        <v>1247</v>
      </c>
    </row>
    <row r="7" spans="1:6" ht="15" customHeight="1">
      <c r="A7" s="8" t="s">
        <v>11</v>
      </c>
      <c r="B7" s="8" t="s">
        <v>1240</v>
      </c>
      <c r="C7" s="8" t="s">
        <v>1248</v>
      </c>
      <c r="D7" s="8" t="s">
        <v>1249</v>
      </c>
      <c r="E7" s="8" t="s">
        <v>1250</v>
      </c>
      <c r="F7" s="8" t="s">
        <v>1251</v>
      </c>
    </row>
    <row r="8" spans="1:6" ht="15" customHeight="1">
      <c r="A8" s="8" t="s">
        <v>12</v>
      </c>
      <c r="B8" s="8" t="s">
        <v>4</v>
      </c>
      <c r="C8" s="8" t="s">
        <v>1252</v>
      </c>
      <c r="D8" s="8" t="s">
        <v>1253</v>
      </c>
      <c r="E8" s="8" t="s">
        <v>1254</v>
      </c>
      <c r="F8" s="8" t="s">
        <v>1255</v>
      </c>
    </row>
    <row r="9" spans="1:6" ht="15" customHeight="1">
      <c r="A9" s="8" t="s">
        <v>13</v>
      </c>
      <c r="B9" s="8" t="s">
        <v>1240</v>
      </c>
      <c r="C9" s="8" t="s">
        <v>1252</v>
      </c>
      <c r="D9" s="8" t="s">
        <v>1256</v>
      </c>
      <c r="E9" s="8" t="s">
        <v>1254</v>
      </c>
      <c r="F9" s="8" t="s">
        <v>1257</v>
      </c>
    </row>
    <row r="10" spans="1:6" ht="15" customHeight="1">
      <c r="A10" s="8" t="s">
        <v>14</v>
      </c>
      <c r="B10" s="8" t="s">
        <v>1240</v>
      </c>
      <c r="C10" s="8" t="s">
        <v>1241</v>
      </c>
      <c r="D10" s="8" t="s">
        <v>1258</v>
      </c>
      <c r="E10" s="8" t="s">
        <v>1259</v>
      </c>
      <c r="F10" s="8" t="s">
        <v>1260</v>
      </c>
    </row>
    <row r="11" spans="1:6" ht="15" customHeight="1">
      <c r="A11" s="8" t="s">
        <v>15</v>
      </c>
      <c r="B11" s="8" t="s">
        <v>1240</v>
      </c>
      <c r="C11" s="8" t="s">
        <v>1252</v>
      </c>
      <c r="D11" s="8" t="s">
        <v>1261</v>
      </c>
      <c r="E11" s="8" t="s">
        <v>1262</v>
      </c>
      <c r="F11" s="8" t="s">
        <v>1263</v>
      </c>
    </row>
    <row r="12" spans="1:6" ht="15" customHeight="1">
      <c r="A12" s="8" t="s">
        <v>16</v>
      </c>
      <c r="B12" s="8" t="s">
        <v>1240</v>
      </c>
      <c r="C12" s="8" t="s">
        <v>1248</v>
      </c>
      <c r="D12" s="8" t="s">
        <v>1264</v>
      </c>
      <c r="E12" s="8" t="s">
        <v>1265</v>
      </c>
      <c r="F12" s="8" t="s">
        <v>1266</v>
      </c>
    </row>
    <row r="13" spans="1:6" ht="15" customHeight="1">
      <c r="A13" s="8" t="s">
        <v>17</v>
      </c>
      <c r="B13" s="8" t="s">
        <v>1240</v>
      </c>
      <c r="C13" s="8" t="s">
        <v>1248</v>
      </c>
      <c r="D13" s="8" t="s">
        <v>1267</v>
      </c>
      <c r="E13" s="8" t="s">
        <v>1268</v>
      </c>
      <c r="F13" s="8" t="s">
        <v>1269</v>
      </c>
    </row>
    <row r="14" spans="1:6" ht="15" customHeight="1">
      <c r="A14" s="8" t="s">
        <v>18</v>
      </c>
      <c r="B14" s="8" t="s">
        <v>1240</v>
      </c>
      <c r="C14" s="8" t="s">
        <v>1248</v>
      </c>
      <c r="D14" s="8" t="s">
        <v>1270</v>
      </c>
      <c r="E14" s="8" t="s">
        <v>1271</v>
      </c>
      <c r="F14" s="8" t="s">
        <v>1272</v>
      </c>
    </row>
    <row r="15" spans="1:6" ht="15" customHeight="1">
      <c r="A15" s="8" t="s">
        <v>19</v>
      </c>
      <c r="B15" s="8" t="s">
        <v>1240</v>
      </c>
      <c r="C15" s="8" t="s">
        <v>1248</v>
      </c>
      <c r="D15" s="8" t="s">
        <v>1273</v>
      </c>
      <c r="E15" s="8" t="s">
        <v>1274</v>
      </c>
      <c r="F15" s="8" t="s">
        <v>1275</v>
      </c>
    </row>
    <row r="16" spans="1:6" ht="15" customHeight="1">
      <c r="A16" s="8" t="s">
        <v>20</v>
      </c>
      <c r="B16" s="8" t="s">
        <v>1240</v>
      </c>
      <c r="C16" s="8" t="s">
        <v>1248</v>
      </c>
      <c r="D16" s="8" t="s">
        <v>1276</v>
      </c>
      <c r="E16" s="8" t="s">
        <v>1277</v>
      </c>
      <c r="F16" s="8" t="s">
        <v>1278</v>
      </c>
    </row>
    <row r="17" spans="1:6" ht="15" customHeight="1">
      <c r="A17" s="8" t="s">
        <v>21</v>
      </c>
      <c r="B17" s="8" t="s">
        <v>1240</v>
      </c>
      <c r="C17" s="8" t="s">
        <v>1248</v>
      </c>
      <c r="D17" s="8" t="s">
        <v>1279</v>
      </c>
      <c r="E17" s="8" t="s">
        <v>1274</v>
      </c>
      <c r="F17" s="8" t="s">
        <v>1275</v>
      </c>
    </row>
    <row r="18" spans="1:6" ht="15" customHeight="1">
      <c r="A18" s="8" t="s">
        <v>22</v>
      </c>
      <c r="B18" s="8" t="s">
        <v>1240</v>
      </c>
      <c r="C18" s="8" t="s">
        <v>1280</v>
      </c>
      <c r="D18" s="8" t="s">
        <v>1281</v>
      </c>
      <c r="E18" s="8" t="s">
        <v>1282</v>
      </c>
      <c r="F18" s="8" t="s">
        <v>1283</v>
      </c>
    </row>
    <row r="19" spans="1:6" ht="15" customHeight="1">
      <c r="A19" s="8" t="s">
        <v>23</v>
      </c>
      <c r="B19" s="8" t="s">
        <v>1240</v>
      </c>
      <c r="C19" s="8" t="s">
        <v>1248</v>
      </c>
      <c r="D19" s="8" t="s">
        <v>1284</v>
      </c>
      <c r="E19" s="8" t="s">
        <v>1285</v>
      </c>
      <c r="F19" s="8" t="s">
        <v>1286</v>
      </c>
    </row>
    <row r="20" spans="1:6" ht="15" customHeight="1">
      <c r="A20" s="8" t="s">
        <v>24</v>
      </c>
      <c r="B20" s="8" t="s">
        <v>1240</v>
      </c>
      <c r="C20" s="8" t="s">
        <v>1287</v>
      </c>
      <c r="D20" s="8" t="s">
        <v>1288</v>
      </c>
      <c r="E20" s="8" t="s">
        <v>1289</v>
      </c>
      <c r="F20" s="8" t="s">
        <v>1290</v>
      </c>
    </row>
    <row r="21" spans="1:6" ht="15" customHeight="1">
      <c r="A21" s="8" t="s">
        <v>25</v>
      </c>
      <c r="B21" s="8" t="s">
        <v>1240</v>
      </c>
      <c r="C21" s="8" t="s">
        <v>1287</v>
      </c>
      <c r="D21" s="8" t="s">
        <v>1291</v>
      </c>
      <c r="E21" s="8" t="s">
        <v>1289</v>
      </c>
      <c r="F21" s="8" t="s">
        <v>1290</v>
      </c>
    </row>
    <row r="22" spans="1:6" ht="15" customHeight="1">
      <c r="A22" s="8" t="s">
        <v>26</v>
      </c>
      <c r="B22" s="8" t="s">
        <v>1292</v>
      </c>
      <c r="C22" s="8" t="s">
        <v>1229</v>
      </c>
      <c r="D22" s="8" t="s">
        <v>1293</v>
      </c>
      <c r="E22" s="8" t="s">
        <v>1229</v>
      </c>
      <c r="F22" s="8" t="s">
        <v>1232</v>
      </c>
    </row>
    <row r="23" spans="1:6" ht="15" customHeight="1">
      <c r="A23" s="8" t="s">
        <v>27</v>
      </c>
      <c r="B23" s="8" t="s">
        <v>1292</v>
      </c>
      <c r="C23" s="8" t="s">
        <v>1294</v>
      </c>
      <c r="D23" s="8" t="s">
        <v>1295</v>
      </c>
      <c r="E23" s="8" t="s">
        <v>1296</v>
      </c>
      <c r="F23" s="8" t="s">
        <v>1232</v>
      </c>
    </row>
    <row r="24" spans="1:6" ht="15" customHeight="1">
      <c r="A24" s="8" t="s">
        <v>28</v>
      </c>
      <c r="B24" s="8" t="s">
        <v>1297</v>
      </c>
      <c r="C24" s="8" t="s">
        <v>1252</v>
      </c>
      <c r="D24" s="8" t="s">
        <v>1298</v>
      </c>
      <c r="E24" s="8" t="s">
        <v>1299</v>
      </c>
      <c r="F24" s="8" t="s">
        <v>1300</v>
      </c>
    </row>
    <row r="25" spans="1:6" ht="15" customHeight="1">
      <c r="A25" s="8" t="s">
        <v>29</v>
      </c>
      <c r="B25" s="8" t="s">
        <v>1297</v>
      </c>
      <c r="C25" s="8" t="s">
        <v>1252</v>
      </c>
      <c r="D25" s="8" t="s">
        <v>1301</v>
      </c>
      <c r="E25" s="8" t="s">
        <v>1254</v>
      </c>
      <c r="F25" s="8" t="s">
        <v>1302</v>
      </c>
    </row>
    <row r="26" spans="1:6" ht="15" customHeight="1">
      <c r="A26" s="8" t="s">
        <v>30</v>
      </c>
      <c r="B26" s="8" t="s">
        <v>1297</v>
      </c>
      <c r="C26" s="8" t="s">
        <v>1252</v>
      </c>
      <c r="D26" s="8" t="s">
        <v>1303</v>
      </c>
      <c r="E26" s="8" t="s">
        <v>1254</v>
      </c>
      <c r="F26" s="8" t="s">
        <v>1304</v>
      </c>
    </row>
    <row r="27" spans="1:6" ht="15" customHeight="1">
      <c r="A27" s="8" t="s">
        <v>31</v>
      </c>
      <c r="B27" s="8" t="s">
        <v>1297</v>
      </c>
      <c r="C27" s="8" t="s">
        <v>1252</v>
      </c>
      <c r="D27" s="8" t="s">
        <v>1305</v>
      </c>
      <c r="E27" s="8" t="s">
        <v>1254</v>
      </c>
      <c r="F27" s="8" t="s">
        <v>1306</v>
      </c>
    </row>
    <row r="28" spans="1:6" ht="15" customHeight="1">
      <c r="A28" s="8" t="s">
        <v>32</v>
      </c>
      <c r="B28" s="8" t="s">
        <v>1307</v>
      </c>
      <c r="C28" s="8" t="s">
        <v>1308</v>
      </c>
      <c r="D28" s="8" t="s">
        <v>1309</v>
      </c>
      <c r="E28" s="8" t="s">
        <v>1310</v>
      </c>
      <c r="F28" s="8" t="s">
        <v>1311</v>
      </c>
    </row>
    <row r="29" spans="1:6" ht="15" customHeight="1">
      <c r="A29" s="8" t="s">
        <v>33</v>
      </c>
      <c r="B29" s="8" t="s">
        <v>1307</v>
      </c>
      <c r="C29" s="8" t="s">
        <v>1308</v>
      </c>
      <c r="D29" s="8" t="s">
        <v>1312</v>
      </c>
      <c r="E29" s="8" t="s">
        <v>1313</v>
      </c>
      <c r="F29" s="8" t="s">
        <v>1311</v>
      </c>
    </row>
    <row r="30" spans="1:6" ht="15" customHeight="1">
      <c r="A30" s="8" t="s">
        <v>34</v>
      </c>
      <c r="B30" s="8" t="s">
        <v>1307</v>
      </c>
      <c r="C30" s="8" t="s">
        <v>1308</v>
      </c>
      <c r="D30" s="8" t="s">
        <v>1314</v>
      </c>
      <c r="E30" s="8" t="s">
        <v>1313</v>
      </c>
      <c r="F30" s="8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Training_Data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 Liang</cp:lastModifiedBy>
  <dcterms:created xsi:type="dcterms:W3CDTF">2026-09-14T21:25:42Z</dcterms:created>
  <dcterms:modified xsi:type="dcterms:W3CDTF">2026-09-14T21:25:42Z</dcterms:modified>
</cp:coreProperties>
</file>